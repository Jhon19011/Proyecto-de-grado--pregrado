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41ee34431a20e4e/Escritorio/Proyecto de grado/Proyecto-de-grado--pregrado/Proyecto-completo/Backend/plantillas/"/>
    </mc:Choice>
  </mc:AlternateContent>
  <xr:revisionPtr revIDLastSave="4" documentId="13_ncr:1_{4C738C05-50A3-4B5B-A3A0-A736CC3ABD39}" xr6:coauthVersionLast="47" xr6:coauthVersionMax="47" xr10:uidLastSave="{C0D6AF91-123C-462D-B3E7-DCBFB94E3CC7}"/>
  <bookViews>
    <workbookView xWindow="-108" yWindow="-108" windowWidth="23256" windowHeight="12456" xr2:uid="{00000000-000D-0000-FFFF-FFFF00000000}"/>
  </bookViews>
  <sheets>
    <sheet name="INVENTARIO" sheetId="5" r:id="rId1"/>
    <sheet name="XXX-001" sheetId="13" r:id="rId2"/>
  </sheets>
  <definedNames>
    <definedName name="_xlnm.Print_Area" localSheetId="0">INVENTARIO!$A$1:$X$146</definedName>
    <definedName name="Print_Area" localSheetId="0">INVENTARIO!$B$2:$W$145</definedName>
    <definedName name="Print_Titles" localSheetId="0">INVENTARIO!$2:$19</definedName>
    <definedName name="Print_Titles" localSheetId="1">'XXX-001'!$2:$19</definedName>
    <definedName name="_xlnm.Print_Titles" localSheetId="0">INVENTARIO!$2:$19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5" i="5" l="1"/>
  <c r="V23" i="5"/>
  <c r="P12" i="13"/>
  <c r="L12" i="13"/>
  <c r="D12" i="13"/>
  <c r="V21" i="5"/>
  <c r="V22" i="5"/>
  <c r="V24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V108" i="5"/>
  <c r="V109" i="5"/>
  <c r="V110" i="5"/>
  <c r="V111" i="5"/>
  <c r="V112" i="5"/>
  <c r="V113" i="5"/>
  <c r="V114" i="5"/>
  <c r="V115" i="5"/>
  <c r="V116" i="5"/>
  <c r="V117" i="5"/>
  <c r="V118" i="5"/>
  <c r="V119" i="5"/>
  <c r="V120" i="5"/>
  <c r="V121" i="5"/>
  <c r="V122" i="5"/>
  <c r="V123" i="5"/>
  <c r="V124" i="5"/>
  <c r="V125" i="5"/>
  <c r="V126" i="5"/>
  <c r="V127" i="5"/>
  <c r="V128" i="5"/>
  <c r="V129" i="5"/>
  <c r="V130" i="5"/>
  <c r="V131" i="5"/>
  <c r="V132" i="5"/>
  <c r="V133" i="5"/>
  <c r="V134" i="5"/>
  <c r="V135" i="5"/>
  <c r="V136" i="5"/>
  <c r="V137" i="5"/>
  <c r="V138" i="5"/>
  <c r="V139" i="5"/>
  <c r="V140" i="5"/>
  <c r="V141" i="5"/>
  <c r="V142" i="5"/>
  <c r="V143" i="5"/>
  <c r="V144" i="5"/>
  <c r="V145" i="5"/>
  <c r="V20" i="5"/>
  <c r="W20" i="5" a="1"/>
  <c r="W20" i="5" s="1"/>
  <c r="B21" i="13" l="1"/>
  <c r="E20" i="13"/>
  <c r="H16" i="13"/>
  <c r="P14" i="13"/>
  <c r="D16" i="13"/>
  <c r="K16" i="13"/>
  <c r="Q16" i="13"/>
  <c r="E21" i="13" l="1"/>
  <c r="H20" i="13"/>
  <c r="H21" i="13" l="1"/>
  <c r="E22" i="13"/>
  <c r="G18" i="13"/>
  <c r="L14" i="13"/>
  <c r="E14" i="13"/>
  <c r="F8" i="13"/>
  <c r="E8" i="13"/>
  <c r="E23" i="13" l="1"/>
  <c r="H22" i="13"/>
  <c r="G8" i="13"/>
  <c r="E24" i="13" l="1"/>
  <c r="H23" i="13"/>
  <c r="E25" i="13" l="1"/>
  <c r="H24" i="13"/>
  <c r="E26" i="13" l="1"/>
  <c r="H25" i="13"/>
  <c r="E27" i="13" l="1"/>
  <c r="H26" i="13"/>
  <c r="E28" i="13" l="1"/>
  <c r="H27" i="13"/>
  <c r="E29" i="13" l="1"/>
  <c r="H28" i="13"/>
  <c r="E30" i="13" l="1"/>
  <c r="H29" i="13"/>
  <c r="E31" i="13" l="1"/>
  <c r="H30" i="13"/>
  <c r="E32" i="13" l="1"/>
  <c r="H31" i="13"/>
  <c r="E33" i="13" l="1"/>
  <c r="H32" i="13"/>
  <c r="E34" i="13" l="1"/>
  <c r="H33" i="13"/>
  <c r="E35" i="13" l="1"/>
  <c r="H34" i="13"/>
  <c r="E36" i="13" l="1"/>
  <c r="H35" i="13"/>
  <c r="E37" i="13" l="1"/>
  <c r="H36" i="13"/>
  <c r="E38" i="13" l="1"/>
  <c r="H37" i="13"/>
  <c r="E39" i="13" l="1"/>
  <c r="H38" i="13"/>
  <c r="E40" i="13" l="1"/>
  <c r="H39" i="13"/>
  <c r="E41" i="13" l="1"/>
  <c r="H40" i="13"/>
  <c r="H46" i="13"/>
  <c r="E42" i="13" l="1"/>
  <c r="H41" i="13"/>
  <c r="E43" i="13" l="1"/>
  <c r="H42" i="13"/>
  <c r="E44" i="13" l="1"/>
  <c r="H43" i="13"/>
  <c r="E45" i="13" l="1"/>
  <c r="H45" i="13" s="1"/>
  <c r="H44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<sst xmlns="http://schemas.openxmlformats.org/spreadsheetml/2006/main" count="72" uniqueCount="66">
  <si>
    <t>FECHA</t>
  </si>
  <si>
    <t>PRÁCTICA</t>
  </si>
  <si>
    <t>CANTIDAD INICIAL</t>
  </si>
  <si>
    <t>NOMBRE DEL DOCENTE/INVESTIGADOR</t>
  </si>
  <si>
    <t>CANTIDAD REMANENTE</t>
  </si>
  <si>
    <t>CONTROL DE CONSUMO DE SUSTANCIAS QUÍMICAS</t>
  </si>
  <si>
    <t>OBSERVACIONES:</t>
  </si>
  <si>
    <t>PRESENTACIÓN:</t>
  </si>
  <si>
    <t>NOMBRE DE LA SUSTANCIA:</t>
  </si>
  <si>
    <t>ESTADO:</t>
  </si>
  <si>
    <t>No. CAS:</t>
  </si>
  <si>
    <t>EDIFICIO:</t>
  </si>
  <si>
    <t>MARCA:</t>
  </si>
  <si>
    <t>FECHA DE VENCIMIENTO:</t>
  </si>
  <si>
    <t>NÚMERO</t>
  </si>
  <si>
    <t>CONSUMO</t>
  </si>
  <si>
    <t>CÓDIGO UBICACIÓN:</t>
  </si>
  <si>
    <t>LABORATORIO:</t>
  </si>
  <si>
    <t>LOTE:</t>
  </si>
  <si>
    <t>INVENTARIO DE SUSTANCIAS QUÍMICAS</t>
  </si>
  <si>
    <r>
      <t xml:space="preserve">Página </t>
    </r>
    <r>
      <rPr>
        <sz val="10"/>
        <color rgb="FF000000"/>
        <rFont val="Tahoma"/>
        <family val="2"/>
      </rPr>
      <t>1 de 1</t>
    </r>
  </si>
  <si>
    <t>DEPARTAMENTO/FACULTAD</t>
  </si>
  <si>
    <t>LABORATORIO/ÁREA:</t>
  </si>
  <si>
    <t>FECHA DE INVENTARIO:</t>
  </si>
  <si>
    <t>CÓDIGO</t>
  </si>
  <si>
    <t>NOMBRE COMERCIAL</t>
  </si>
  <si>
    <t>MARCA</t>
  </si>
  <si>
    <t>CAS</t>
  </si>
  <si>
    <t>CLASE DE PELIGRO SEGÚN ONU</t>
  </si>
  <si>
    <t>CATEGORÍA IARC</t>
  </si>
  <si>
    <t>ESTADO</t>
  </si>
  <si>
    <t>FECHA DE VENCIMIENTO</t>
  </si>
  <si>
    <t>CANTIDAD</t>
  </si>
  <si>
    <t>Unidades</t>
  </si>
  <si>
    <t>ml</t>
  </si>
  <si>
    <t>RESPONSABLE DEL LABORATORIO:</t>
  </si>
  <si>
    <r>
      <t xml:space="preserve">Versión: </t>
    </r>
    <r>
      <rPr>
        <sz val="10"/>
        <color rgb="FF000000"/>
        <rFont val="Tahoma"/>
        <family val="2"/>
      </rPr>
      <t>01</t>
    </r>
  </si>
  <si>
    <t>LOTE</t>
  </si>
  <si>
    <t>UBICACIÓN  DE ALMACENAMIENTO</t>
  </si>
  <si>
    <t>DIRECCIÓN DE LABORATORIOS</t>
  </si>
  <si>
    <r>
      <t xml:space="preserve">Versión: </t>
    </r>
    <r>
      <rPr>
        <sz val="10"/>
        <color theme="1"/>
        <rFont val="Tahoma"/>
        <family val="2"/>
      </rPr>
      <t>01</t>
    </r>
  </si>
  <si>
    <r>
      <t>Página</t>
    </r>
    <r>
      <rPr>
        <sz val="10"/>
        <color theme="1"/>
        <rFont val="Tahoma"/>
        <family val="2"/>
      </rPr>
      <t xml:space="preserve"> 1 de 1</t>
    </r>
  </si>
  <si>
    <t>2.1. Gas Inflamable</t>
  </si>
  <si>
    <t>4.3. Sustancia que desprende gas Inflamable al contacto con el agua</t>
  </si>
  <si>
    <t>1. Explosivo</t>
  </si>
  <si>
    <t>2.2. Gas no Inflamable, no tóxico</t>
  </si>
  <si>
    <t>2.3. Gas tóxico o venenoso</t>
  </si>
  <si>
    <t>3. Líquido Inflamable</t>
  </si>
  <si>
    <t>4.1. Sólido Inflamable</t>
  </si>
  <si>
    <t xml:space="preserve">4.2. Sustancia combustible espontáneamente </t>
  </si>
  <si>
    <t>5.1. Sustancia comburente</t>
  </si>
  <si>
    <t>5.2. Peróxido orgánico</t>
  </si>
  <si>
    <t>6.1. Sustancia tóxica</t>
  </si>
  <si>
    <t>6.2. Sustancia infecciosa</t>
  </si>
  <si>
    <t>7. Sustancia radioactiva</t>
  </si>
  <si>
    <t>8. Sustancia corrosiva</t>
  </si>
  <si>
    <t>9. Sustancias y objetos peligrosos varios</t>
  </si>
  <si>
    <t>No regulada</t>
  </si>
  <si>
    <t>XXX-001</t>
  </si>
  <si>
    <r>
      <t xml:space="preserve">Código: </t>
    </r>
    <r>
      <rPr>
        <sz val="10"/>
        <color rgb="FF000000"/>
        <rFont val="Tahoma"/>
        <family val="2"/>
      </rPr>
      <t>GS-BO-F-026</t>
    </r>
  </si>
  <si>
    <r>
      <t xml:space="preserve">Emisión: </t>
    </r>
    <r>
      <rPr>
        <sz val="10"/>
        <color theme="1"/>
        <rFont val="Tahoma"/>
        <family val="2"/>
      </rPr>
      <t>17-05-2024</t>
    </r>
  </si>
  <si>
    <r>
      <t xml:space="preserve">Emisión: </t>
    </r>
    <r>
      <rPr>
        <sz val="10"/>
        <color rgb="FF000000"/>
        <rFont val="Tahoma"/>
        <family val="2"/>
      </rPr>
      <t>17-05-2024</t>
    </r>
  </si>
  <si>
    <t>PRESENTACIÓN</t>
  </si>
  <si>
    <t>GASTO TOTAL</t>
  </si>
  <si>
    <t>VÍNCULO</t>
  </si>
  <si>
    <r>
      <t xml:space="preserve">Código: </t>
    </r>
    <r>
      <rPr>
        <sz val="10"/>
        <color theme="1"/>
        <rFont val="Tahoma"/>
        <family val="2"/>
      </rPr>
      <t>GS-BO-F-027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</si>
</sst>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\-d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b/>
      <sz val="18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Arial"/>
      <family val="2"/>
    </font>
    <font>
      <sz val="12"/>
      <name val="Calibri"/>
      <family val="2"/>
    </font>
    <font>
      <sz val="11"/>
      <color theme="1"/>
      <name val="Tahom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9"/>
      <name val="Calibri"/>
      <family val="2"/>
      <scheme val="minor"/>
    </font>
    <font>
      <sz val="10"/>
      <color theme="1"/>
      <name val="Tahoma"/>
      <family val="2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12"/>
      <color theme="0"/>
      <name val="Calibri"/>
      <family val="2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8"/>
      <color theme="1"/>
      <name val="Tahoma"/>
      <family val="2"/>
    </font>
    <font>
      <b/>
      <sz val="8"/>
      <color theme="1"/>
      <name val="Tahoma"/>
      <family val="2"/>
    </font>
    <font>
      <b/>
      <sz val="11"/>
      <name val="Tahoma"/>
      <family val="2"/>
    </font>
    <font>
      <sz val="11"/>
      <name val="Tahoma"/>
      <family val="2"/>
    </font>
    <font>
      <sz val="12"/>
      <name val="Tahoma"/>
      <family val="2"/>
    </font>
    <font>
      <sz val="12"/>
      <color theme="1"/>
      <name val="Tahoma"/>
      <family val="2"/>
    </font>
    <font>
      <u/>
      <sz val="11"/>
      <color theme="10"/>
      <name val="Tahoma"/>
      <family val="2"/>
    </font>
    <font>
      <b/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</font>
    <font>
      <sz val="8"/>
      <name val="Calibri"/>
      <family val="2"/>
      <scheme val="minor"/>
    </font>
    <font>
      <sz val="11"/>
      <color rgb="FFFF0000"/>
      <name val="Tahoma"/>
      <family val="2"/>
    </font>
    <font>
      <sz val="10"/>
      <color rgb="FFFF0000"/>
      <name val="Tahoma"/>
      <family val="2"/>
    </font>
    <font>
      <sz val="11"/>
      <color theme="0"/>
      <name val="Tahoma"/>
      <family val="2"/>
    </font>
    <font>
      <sz val="10"/>
      <color theme="0"/>
      <name val="Tahoma"/>
      <family val="2"/>
    </font>
    <font>
      <sz val="12"/>
      <color rgb="FFFF0000"/>
      <name val="Tahoma"/>
      <family val="2"/>
    </font>
    <font>
      <sz val="12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0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24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wrapText="1"/>
    </xf>
    <xf numFmtId="0" fontId="12" fillId="0" borderId="0" xfId="0" applyFont="1"/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9" fillId="0" borderId="0" xfId="0" applyFont="1"/>
    <xf numFmtId="0" fontId="29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vertical="center"/>
    </xf>
    <xf numFmtId="0" fontId="30" fillId="0" borderId="0" xfId="0" applyFont="1"/>
    <xf numFmtId="0" fontId="28" fillId="0" borderId="1" xfId="0" applyFont="1" applyBorder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7" fillId="0" borderId="0" xfId="0" applyFont="1"/>
    <xf numFmtId="0" fontId="15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7" fillId="0" borderId="17" xfId="0" applyFont="1" applyBorder="1"/>
    <xf numFmtId="0" fontId="23" fillId="0" borderId="18" xfId="0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center" wrapText="1"/>
    </xf>
    <xf numFmtId="0" fontId="17" fillId="0" borderId="18" xfId="0" applyFont="1" applyBorder="1"/>
    <xf numFmtId="0" fontId="17" fillId="0" borderId="19" xfId="0" applyFont="1" applyBorder="1"/>
    <xf numFmtId="0" fontId="10" fillId="0" borderId="20" xfId="0" applyFont="1" applyBorder="1"/>
    <xf numFmtId="0" fontId="10" fillId="0" borderId="21" xfId="0" applyFont="1" applyBorder="1"/>
    <xf numFmtId="0" fontId="17" fillId="0" borderId="20" xfId="0" applyFont="1" applyBorder="1"/>
    <xf numFmtId="0" fontId="17" fillId="0" borderId="21" xfId="0" applyFont="1" applyBorder="1"/>
    <xf numFmtId="0" fontId="17" fillId="0" borderId="22" xfId="0" applyFont="1" applyBorder="1"/>
    <xf numFmtId="0" fontId="23" fillId="0" borderId="23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17" fillId="0" borderId="23" xfId="0" applyFont="1" applyBorder="1"/>
    <xf numFmtId="0" fontId="17" fillId="0" borderId="24" xfId="0" applyFont="1" applyBorder="1"/>
    <xf numFmtId="0" fontId="23" fillId="0" borderId="20" xfId="0" applyFont="1" applyBorder="1" applyAlignment="1">
      <alignment vertical="center" wrapText="1"/>
    </xf>
    <xf numFmtId="0" fontId="33" fillId="0" borderId="0" xfId="0" applyFont="1" applyAlignment="1">
      <alignment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49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 wrapText="1"/>
    </xf>
    <xf numFmtId="0" fontId="23" fillId="2" borderId="26" xfId="0" applyFont="1" applyFill="1" applyBorder="1" applyAlignment="1">
      <alignment horizontal="center" vertical="center" wrapText="1"/>
    </xf>
    <xf numFmtId="0" fontId="23" fillId="2" borderId="26" xfId="0" applyFont="1" applyFill="1" applyBorder="1" applyAlignment="1">
      <alignment horizontal="center" vertical="center"/>
    </xf>
    <xf numFmtId="0" fontId="24" fillId="2" borderId="26" xfId="0" applyFont="1" applyFill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28" fillId="0" borderId="28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14" fontId="18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 wrapText="1"/>
    </xf>
    <xf numFmtId="0" fontId="13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right" vertical="center" wrapText="1"/>
    </xf>
    <xf numFmtId="0" fontId="0" fillId="0" borderId="17" xfId="0" applyBorder="1"/>
    <xf numFmtId="0" fontId="0" fillId="0" borderId="18" xfId="0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" fillId="0" borderId="18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0" borderId="21" xfId="0" applyBorder="1" applyAlignment="1">
      <alignment vertical="center"/>
    </xf>
    <xf numFmtId="0" fontId="12" fillId="0" borderId="20" xfId="0" applyFont="1" applyBorder="1"/>
    <xf numFmtId="0" fontId="18" fillId="0" borderId="21" xfId="0" applyFont="1" applyBorder="1" applyAlignment="1">
      <alignment vertical="center" wrapText="1"/>
    </xf>
    <xf numFmtId="0" fontId="12" fillId="0" borderId="21" xfId="0" applyFont="1" applyBorder="1" applyAlignment="1">
      <alignment vertic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21" fillId="0" borderId="23" xfId="0" applyFont="1" applyBorder="1" applyAlignment="1">
      <alignment horizontal="center"/>
    </xf>
    <xf numFmtId="0" fontId="1" fillId="0" borderId="23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0" fillId="0" borderId="24" xfId="0" applyBorder="1"/>
    <xf numFmtId="0" fontId="7" fillId="0" borderId="4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3" fillId="0" borderId="1" xfId="0" applyFont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34" fillId="3" borderId="0" xfId="0" applyFont="1" applyFill="1" applyAlignment="1">
      <alignment vertical="center"/>
    </xf>
    <xf numFmtId="0" fontId="34" fillId="3" borderId="0" xfId="0" applyFont="1" applyFill="1" applyAlignment="1">
      <alignment vertical="center" wrapText="1"/>
    </xf>
    <xf numFmtId="0" fontId="31" fillId="0" borderId="44" xfId="1" applyFont="1" applyFill="1" applyBorder="1" applyAlignment="1"/>
    <xf numFmtId="0" fontId="17" fillId="0" borderId="50" xfId="0" applyFont="1" applyBorder="1" applyAlignment="1">
      <alignment horizontal="center" vertical="center" wrapText="1"/>
    </xf>
    <xf numFmtId="14" fontId="17" fillId="0" borderId="50" xfId="0" applyNumberFormat="1" applyFont="1" applyBorder="1" applyAlignment="1">
      <alignment horizontal="center" vertical="center" wrapText="1"/>
    </xf>
    <xf numFmtId="0" fontId="33" fillId="0" borderId="50" xfId="0" applyFont="1" applyBorder="1" applyAlignment="1">
      <alignment horizontal="center" vertical="center" wrapText="1"/>
    </xf>
    <xf numFmtId="14" fontId="17" fillId="0" borderId="51" xfId="0" applyNumberFormat="1" applyFont="1" applyBorder="1" applyAlignment="1">
      <alignment horizontal="center" vertical="center" wrapText="1"/>
    </xf>
    <xf numFmtId="0" fontId="33" fillId="0" borderId="51" xfId="0" applyFont="1" applyBorder="1" applyAlignment="1">
      <alignment horizontal="center" vertical="center" wrapText="1"/>
    </xf>
    <xf numFmtId="0" fontId="17" fillId="0" borderId="51" xfId="0" applyFont="1" applyBorder="1" applyAlignment="1">
      <alignment horizontal="center" vertical="center" wrapText="1"/>
    </xf>
    <xf numFmtId="0" fontId="31" fillId="0" borderId="24" xfId="1" applyFont="1" applyFill="1" applyBorder="1" applyAlignment="1"/>
    <xf numFmtId="0" fontId="31" fillId="0" borderId="13" xfId="1" applyFont="1" applyFill="1" applyBorder="1" applyAlignment="1"/>
    <xf numFmtId="0" fontId="31" fillId="0" borderId="52" xfId="1" applyFont="1" applyFill="1" applyBorder="1" applyAlignment="1"/>
    <xf numFmtId="0" fontId="31" fillId="0" borderId="21" xfId="1" applyFont="1" applyFill="1" applyBorder="1" applyAlignment="1"/>
    <xf numFmtId="0" fontId="0" fillId="0" borderId="21" xfId="0" applyBorder="1"/>
    <xf numFmtId="0" fontId="17" fillId="0" borderId="18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23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22" fillId="0" borderId="0" xfId="1" applyAlignment="1">
      <alignment horizontal="center"/>
    </xf>
    <xf numFmtId="0" fontId="36" fillId="0" borderId="0" xfId="0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36" fillId="0" borderId="20" xfId="0" applyFont="1" applyBorder="1"/>
    <xf numFmtId="0" fontId="41" fillId="0" borderId="0" xfId="0" applyFont="1"/>
    <xf numFmtId="0" fontId="39" fillId="0" borderId="0" xfId="0" applyFont="1" applyAlignment="1">
      <alignment wrapText="1"/>
    </xf>
    <xf numFmtId="0" fontId="28" fillId="0" borderId="28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2" fillId="0" borderId="13" xfId="1" applyBorder="1" applyAlignment="1">
      <alignment horizontal="center" vertical="center"/>
    </xf>
    <xf numFmtId="0" fontId="28" fillId="0" borderId="31" xfId="0" applyFont="1" applyBorder="1" applyAlignment="1">
      <alignment vertical="center"/>
    </xf>
    <xf numFmtId="0" fontId="28" fillId="0" borderId="4" xfId="0" applyFont="1" applyBorder="1" applyAlignment="1">
      <alignment vertical="center"/>
    </xf>
    <xf numFmtId="0" fontId="17" fillId="0" borderId="28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4" fillId="0" borderId="7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5" fillId="0" borderId="28" xfId="0" applyFont="1" applyBorder="1" applyAlignment="1">
      <alignment horizontal="center" vertical="center" wrapText="1"/>
    </xf>
    <xf numFmtId="0" fontId="25" fillId="0" borderId="29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30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17" fontId="33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right" vertical="center" wrapText="1"/>
    </xf>
    <xf numFmtId="0" fontId="27" fillId="2" borderId="9" xfId="0" applyFont="1" applyFill="1" applyBorder="1" applyAlignment="1">
      <alignment horizontal="center" vertical="center" wrapText="1"/>
    </xf>
    <xf numFmtId="0" fontId="23" fillId="2" borderId="46" xfId="0" applyFont="1" applyFill="1" applyBorder="1" applyAlignment="1">
      <alignment horizontal="center" vertical="center" wrapText="1"/>
    </xf>
    <xf numFmtId="0" fontId="23" fillId="2" borderId="37" xfId="0" applyFont="1" applyFill="1" applyBorder="1" applyAlignment="1">
      <alignment horizontal="center" vertical="center" wrapText="1"/>
    </xf>
    <xf numFmtId="0" fontId="28" fillId="0" borderId="45" xfId="0" applyFont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 wrapText="1"/>
    </xf>
    <xf numFmtId="0" fontId="15" fillId="0" borderId="49" xfId="0" applyFont="1" applyBorder="1" applyAlignment="1">
      <alignment horizontal="center" vertical="center" wrapText="1"/>
    </xf>
    <xf numFmtId="0" fontId="17" fillId="0" borderId="48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28" fillId="0" borderId="32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23" fillId="2" borderId="36" xfId="0" applyFont="1" applyFill="1" applyBorder="1" applyAlignment="1">
      <alignment horizontal="center" vertical="center" wrapText="1"/>
    </xf>
    <xf numFmtId="0" fontId="23" fillId="2" borderId="39" xfId="0" applyFont="1" applyFill="1" applyBorder="1" applyAlignment="1">
      <alignment horizontal="center" vertical="center" wrapText="1"/>
    </xf>
    <xf numFmtId="0" fontId="33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23" fillId="2" borderId="38" xfId="0" applyFont="1" applyFill="1" applyBorder="1" applyAlignment="1">
      <alignment horizontal="center" vertical="center" wrapText="1"/>
    </xf>
    <xf numFmtId="0" fontId="24" fillId="2" borderId="36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 wrapText="1"/>
    </xf>
    <xf numFmtId="0" fontId="15" fillId="0" borderId="47" xfId="0" applyFont="1" applyBorder="1" applyAlignment="1">
      <alignment horizontal="center" vertical="center" wrapText="1"/>
    </xf>
    <xf numFmtId="0" fontId="15" fillId="0" borderId="4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17" fillId="0" borderId="33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6" fillId="0" borderId="0" xfId="0" applyFont="1" applyAlignment="1">
      <alignment horizontal="right" vertical="center"/>
    </xf>
    <xf numFmtId="14" fontId="18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2" fillId="0" borderId="1" xfId="0" applyFont="1" applyBorder="1" applyAlignment="1">
      <alignment horizontal="center" vertical="center"/>
    </xf>
    <xf numFmtId="0" fontId="32" fillId="0" borderId="8" xfId="0" applyFont="1" applyBorder="1" applyAlignment="1">
      <alignment horizontal="center" vertical="center" wrapText="1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32" fillId="0" borderId="7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7" fillId="0" borderId="3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299358</xdr:colOff>
      <xdr:row>1</xdr:row>
      <xdr:rowOff>72571</xdr:rowOff>
    </xdr:from>
    <xdr:to>
      <xdr:col>6</xdr:col>
      <xdr:colOff>843644</xdr:colOff>
      <xdr:row>5</xdr:row>
      <xdr:rowOff>145299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ABAD204-60A0-F22E-91B0-EB0E65970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5215" y="254000"/>
          <a:ext cx="3238500" cy="7258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470647</xdr:colOff>
      <xdr:row>1</xdr:row>
      <xdr:rowOff>97119</xdr:rowOff>
    </xdr:from>
    <xdr:to>
      <xdr:col>6</xdr:col>
      <xdr:colOff>232163</xdr:colOff>
      <xdr:row>5</xdr:row>
      <xdr:rowOff>147022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B0B231-F8A4-C166-294E-9791279A3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14823" y="283884"/>
          <a:ext cx="3257177" cy="72225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/>
  <dimension ref="A1:X146"/>
  <sheetViews>
    <sheetView showGridLines="0" tabSelected="1" view="pageBreakPreview" zoomScale="85" zoomScaleNormal="70" zoomScaleSheetLayoutView="85" workbookViewId="0">
      <selection activeCell="E64" sqref="E64:G64"/>
    </sheetView>
  </sheetViews>
  <sheetFormatPr baseColWidth="10" defaultColWidth="0" defaultRowHeight="13.8" zeroHeight="1" x14ac:dyDescent="0.25"/>
  <cols>
    <col min="1" max="1" width="2.6640625" style="120" customWidth="1"/>
    <col min="2" max="2" width="0.5546875" style="14" customWidth="1"/>
    <col min="3" max="3" width="10.44140625" style="14" customWidth="1"/>
    <col min="4" max="5" width="11.44140625" style="14" customWidth="1"/>
    <col min="6" max="6" width="5.33203125" style="14" customWidth="1"/>
    <col min="7" max="7" width="14.88671875" style="14" customWidth="1"/>
    <col min="8" max="8" width="11.5546875" style="26" customWidth="1"/>
    <col min="9" max="9" width="12.44140625" style="26" customWidth="1"/>
    <col min="10" max="10" width="11.44140625" style="14" customWidth="1"/>
    <col min="11" max="11" width="8.6640625" style="14" customWidth="1"/>
    <col min="12" max="12" width="11.44140625" style="14" customWidth="1"/>
    <col min="13" max="13" width="12.88671875" style="14" customWidth="1"/>
    <col min="14" max="14" width="10.6640625" style="14" customWidth="1"/>
    <col min="15" max="15" width="13.5546875" style="14" customWidth="1"/>
    <col min="16" max="16" width="12.44140625" style="14" customWidth="1"/>
    <col min="17" max="17" width="8.109375" style="14" customWidth="1"/>
    <col min="18" max="18" width="18.88671875" style="14" customWidth="1"/>
    <col min="19" max="19" width="12.6640625" style="14" customWidth="1"/>
    <col min="20" max="20" width="12.33203125" style="14" customWidth="1"/>
    <col min="21" max="21" width="11.44140625" style="14" customWidth="1"/>
    <col min="22" max="22" width="11.44140625" style="15" customWidth="1"/>
    <col min="23" max="23" width="0.5546875" style="14" customWidth="1"/>
    <col min="24" max="24" width="2.6640625" style="118" customWidth="1"/>
    <col min="25" max="16384" width="11.44140625" style="14" hidden="1"/>
  </cols>
  <sheetData>
    <row r="1" spans="1:23" s="120" customFormat="1" ht="15" thickBot="1" x14ac:dyDescent="0.3">
      <c r="A1" s="99" t="s">
        <v>44</v>
      </c>
      <c r="B1" s="14"/>
      <c r="C1" s="14"/>
      <c r="D1" s="14"/>
      <c r="E1" s="14"/>
      <c r="F1" s="14"/>
      <c r="G1" s="14"/>
      <c r="H1" s="26"/>
      <c r="I1" s="26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5"/>
      <c r="W1" s="14"/>
    </row>
    <row r="2" spans="1:23" s="120" customFormat="1" ht="15" customHeight="1" x14ac:dyDescent="0.25">
      <c r="A2" s="100" t="s">
        <v>42</v>
      </c>
      <c r="B2" s="139"/>
      <c r="C2" s="140"/>
      <c r="D2" s="140"/>
      <c r="E2" s="140"/>
      <c r="F2" s="140"/>
      <c r="G2" s="140"/>
      <c r="H2" s="145" t="s">
        <v>19</v>
      </c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6"/>
    </row>
    <row r="3" spans="1:23" s="120" customFormat="1" ht="11.25" customHeight="1" x14ac:dyDescent="0.25">
      <c r="A3" s="100" t="s">
        <v>45</v>
      </c>
      <c r="B3" s="141"/>
      <c r="C3" s="142"/>
      <c r="D3" s="142"/>
      <c r="E3" s="142"/>
      <c r="F3" s="142"/>
      <c r="G3" s="142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8"/>
    </row>
    <row r="4" spans="1:23" s="120" customFormat="1" ht="15" customHeight="1" x14ac:dyDescent="0.25">
      <c r="A4" s="100" t="s">
        <v>46</v>
      </c>
      <c r="B4" s="141"/>
      <c r="C4" s="142"/>
      <c r="D4" s="142"/>
      <c r="E4" s="142"/>
      <c r="F4" s="142"/>
      <c r="G4" s="142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8"/>
    </row>
    <row r="5" spans="1:23" s="120" customFormat="1" ht="11.25" customHeight="1" x14ac:dyDescent="0.25">
      <c r="A5" s="100" t="s">
        <v>47</v>
      </c>
      <c r="B5" s="141"/>
      <c r="C5" s="142"/>
      <c r="D5" s="142"/>
      <c r="E5" s="142"/>
      <c r="F5" s="142"/>
      <c r="G5" s="142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8"/>
    </row>
    <row r="6" spans="1:23" s="120" customFormat="1" ht="15" customHeight="1" x14ac:dyDescent="0.25">
      <c r="A6" s="100" t="s">
        <v>48</v>
      </c>
      <c r="B6" s="141"/>
      <c r="C6" s="142"/>
      <c r="D6" s="142"/>
      <c r="E6" s="142"/>
      <c r="F6" s="142"/>
      <c r="G6" s="142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8"/>
    </row>
    <row r="7" spans="1:23" s="120" customFormat="1" ht="21" customHeight="1" thickBot="1" x14ac:dyDescent="0.3">
      <c r="A7" s="100" t="s">
        <v>49</v>
      </c>
      <c r="B7" s="143" t="s">
        <v>59</v>
      </c>
      <c r="C7" s="144"/>
      <c r="D7" s="144"/>
      <c r="E7" s="144"/>
      <c r="F7" s="144"/>
      <c r="G7" s="144"/>
      <c r="H7" s="149" t="s">
        <v>36</v>
      </c>
      <c r="I7" s="149"/>
      <c r="J7" s="149"/>
      <c r="K7" s="149"/>
      <c r="L7" s="149"/>
      <c r="M7" s="149" t="s">
        <v>61</v>
      </c>
      <c r="N7" s="149"/>
      <c r="O7" s="149"/>
      <c r="P7" s="149"/>
      <c r="Q7" s="149"/>
      <c r="R7" s="149"/>
      <c r="S7" s="150" t="s">
        <v>20</v>
      </c>
      <c r="T7" s="151"/>
      <c r="U7" s="151"/>
      <c r="V7" s="151"/>
      <c r="W7" s="152"/>
    </row>
    <row r="8" spans="1:23" s="120" customFormat="1" ht="9" customHeight="1" thickBot="1" x14ac:dyDescent="0.3">
      <c r="A8" s="100" t="s">
        <v>43</v>
      </c>
      <c r="B8" s="14"/>
      <c r="C8" s="15"/>
      <c r="D8" s="15"/>
      <c r="E8" s="15"/>
      <c r="F8" s="15"/>
      <c r="G8" s="15"/>
      <c r="H8" s="16"/>
      <c r="I8" s="16"/>
      <c r="J8" s="17"/>
      <c r="K8" s="17"/>
      <c r="L8" s="17"/>
      <c r="M8" s="17"/>
      <c r="N8" s="17"/>
      <c r="O8" s="17"/>
      <c r="P8" s="17"/>
      <c r="Q8" s="17"/>
      <c r="R8" s="18"/>
      <c r="S8" s="18"/>
      <c r="T8" s="14"/>
      <c r="U8" s="14"/>
      <c r="V8" s="15"/>
      <c r="W8" s="14"/>
    </row>
    <row r="9" spans="1:23" s="121" customFormat="1" ht="3.9" customHeight="1" x14ac:dyDescent="0.25">
      <c r="A9" s="100" t="s">
        <v>50</v>
      </c>
      <c r="B9" s="31"/>
      <c r="C9" s="32"/>
      <c r="D9" s="32"/>
      <c r="E9" s="32"/>
      <c r="F9" s="32"/>
      <c r="G9" s="32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4"/>
      <c r="U9" s="34"/>
      <c r="V9" s="113"/>
      <c r="W9" s="35"/>
    </row>
    <row r="10" spans="1:23" s="120" customFormat="1" ht="16.5" customHeight="1" x14ac:dyDescent="0.25">
      <c r="A10" s="100" t="s">
        <v>51</v>
      </c>
      <c r="B10" s="36"/>
      <c r="C10" s="155" t="s">
        <v>39</v>
      </c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37"/>
    </row>
    <row r="11" spans="1:23" s="27" customFormat="1" ht="3.9" customHeight="1" x14ac:dyDescent="0.25">
      <c r="A11" s="100" t="s">
        <v>52</v>
      </c>
      <c r="B11" s="38"/>
      <c r="C11" s="29"/>
      <c r="D11" s="29"/>
      <c r="E11" s="29"/>
      <c r="F11" s="29"/>
      <c r="G11" s="29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V11" s="114"/>
      <c r="W11" s="39"/>
    </row>
    <row r="12" spans="1:23" s="27" customFormat="1" ht="16.5" customHeight="1" x14ac:dyDescent="0.25">
      <c r="A12" s="100" t="s">
        <v>53</v>
      </c>
      <c r="B12" s="45"/>
      <c r="C12" s="164" t="s">
        <v>21</v>
      </c>
      <c r="D12" s="164"/>
      <c r="E12" s="164"/>
      <c r="F12" s="164"/>
      <c r="G12" s="169"/>
      <c r="H12" s="169"/>
      <c r="I12" s="169"/>
      <c r="J12" s="169"/>
      <c r="K12" s="169"/>
      <c r="L12" s="169"/>
      <c r="M12" s="169"/>
      <c r="N12" s="169"/>
      <c r="O12" s="154" t="s">
        <v>11</v>
      </c>
      <c r="P12" s="154"/>
      <c r="Q12" s="171"/>
      <c r="R12" s="171"/>
      <c r="S12" s="171"/>
      <c r="T12" s="171"/>
      <c r="U12" s="171"/>
      <c r="V12" s="171"/>
      <c r="W12" s="39"/>
    </row>
    <row r="13" spans="1:23" s="27" customFormat="1" ht="3.9" customHeight="1" x14ac:dyDescent="0.25">
      <c r="A13" s="100" t="s">
        <v>54</v>
      </c>
      <c r="B13" s="38"/>
      <c r="C13" s="29"/>
      <c r="D13" s="29"/>
      <c r="E13" s="29"/>
      <c r="F13" s="29"/>
      <c r="G13" s="29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V13" s="114"/>
      <c r="W13" s="39"/>
    </row>
    <row r="14" spans="1:23" s="27" customFormat="1" ht="15.75" customHeight="1" x14ac:dyDescent="0.25">
      <c r="A14" s="100" t="s">
        <v>55</v>
      </c>
      <c r="B14" s="45"/>
      <c r="C14" s="164" t="s">
        <v>22</v>
      </c>
      <c r="D14" s="164"/>
      <c r="E14" s="164"/>
      <c r="F14" s="164"/>
      <c r="G14" s="169"/>
      <c r="H14" s="169"/>
      <c r="I14" s="169"/>
      <c r="J14" s="169"/>
      <c r="K14" s="169"/>
      <c r="L14" s="169"/>
      <c r="M14" s="169"/>
      <c r="N14" s="169"/>
      <c r="O14" s="154" t="s">
        <v>23</v>
      </c>
      <c r="P14" s="154"/>
      <c r="Q14" s="153"/>
      <c r="R14" s="153"/>
      <c r="S14" s="153"/>
      <c r="T14" s="153"/>
      <c r="U14" s="153"/>
      <c r="V14" s="153"/>
      <c r="W14" s="39"/>
    </row>
    <row r="15" spans="1:23" s="27" customFormat="1" ht="3.9" customHeight="1" x14ac:dyDescent="0.25">
      <c r="A15" s="100" t="s">
        <v>56</v>
      </c>
      <c r="B15" s="38"/>
      <c r="G15" s="29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V15" s="114"/>
      <c r="W15" s="39"/>
    </row>
    <row r="16" spans="1:23" s="27" customFormat="1" ht="17.100000000000001" customHeight="1" x14ac:dyDescent="0.25">
      <c r="A16" s="100" t="s">
        <v>57</v>
      </c>
      <c r="B16" s="38"/>
      <c r="C16" s="164" t="s">
        <v>35</v>
      </c>
      <c r="D16" s="164"/>
      <c r="E16" s="164"/>
      <c r="F16" s="164"/>
      <c r="G16" s="170"/>
      <c r="H16" s="170"/>
      <c r="I16" s="170"/>
      <c r="J16" s="170"/>
      <c r="K16" s="170"/>
      <c r="L16" s="170"/>
      <c r="M16" s="170"/>
      <c r="N16" s="170"/>
      <c r="O16" s="46"/>
      <c r="P16" s="46"/>
      <c r="Q16" s="46"/>
      <c r="R16" s="46"/>
      <c r="S16" s="46"/>
      <c r="V16" s="114"/>
      <c r="W16" s="39"/>
    </row>
    <row r="17" spans="1:24" s="27" customFormat="1" ht="3.9" customHeight="1" thickBot="1" x14ac:dyDescent="0.3">
      <c r="A17" s="125"/>
      <c r="B17" s="40"/>
      <c r="C17" s="41"/>
      <c r="D17" s="41"/>
      <c r="E17" s="41"/>
      <c r="F17" s="41"/>
      <c r="G17" s="41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3"/>
      <c r="U17" s="43"/>
      <c r="V17" s="115"/>
      <c r="W17" s="44"/>
      <c r="X17" s="119"/>
    </row>
    <row r="18" spans="1:24" s="22" customFormat="1" ht="5.25" customHeight="1" thickBot="1" x14ac:dyDescent="0.3">
      <c r="A18" s="124"/>
      <c r="C18" s="19"/>
      <c r="D18" s="20"/>
      <c r="E18" s="20"/>
      <c r="F18" s="20"/>
      <c r="G18" s="20"/>
      <c r="H18" s="21"/>
      <c r="I18" s="21"/>
      <c r="J18" s="20"/>
      <c r="K18" s="20"/>
      <c r="L18" s="20"/>
      <c r="M18" s="20"/>
      <c r="N18" s="20"/>
      <c r="O18" s="20"/>
      <c r="P18" s="20"/>
      <c r="Q18" s="20"/>
      <c r="R18" s="20"/>
      <c r="S18" s="20"/>
      <c r="V18" s="116"/>
      <c r="X18" s="122"/>
    </row>
    <row r="19" spans="1:24" ht="32.25" customHeight="1" thickBot="1" x14ac:dyDescent="0.3">
      <c r="B19" s="156" t="s">
        <v>14</v>
      </c>
      <c r="C19" s="157"/>
      <c r="D19" s="51" t="s">
        <v>24</v>
      </c>
      <c r="E19" s="167" t="s">
        <v>25</v>
      </c>
      <c r="F19" s="174"/>
      <c r="G19" s="157"/>
      <c r="H19" s="52" t="s">
        <v>26</v>
      </c>
      <c r="I19" s="52" t="s">
        <v>37</v>
      </c>
      <c r="J19" s="51" t="s">
        <v>27</v>
      </c>
      <c r="K19" s="175" t="s">
        <v>28</v>
      </c>
      <c r="L19" s="176"/>
      <c r="M19" s="53" t="s">
        <v>29</v>
      </c>
      <c r="N19" s="53" t="s">
        <v>30</v>
      </c>
      <c r="O19" s="53" t="s">
        <v>31</v>
      </c>
      <c r="P19" s="167" t="s">
        <v>62</v>
      </c>
      <c r="Q19" s="157"/>
      <c r="R19" s="53" t="s">
        <v>38</v>
      </c>
      <c r="S19" s="51" t="s">
        <v>32</v>
      </c>
      <c r="T19" s="51" t="s">
        <v>4</v>
      </c>
      <c r="U19" s="51" t="s">
        <v>63</v>
      </c>
      <c r="V19" s="167" t="s">
        <v>64</v>
      </c>
      <c r="W19" s="168"/>
    </row>
    <row r="20" spans="1:24" s="24" customFormat="1" ht="16.5" customHeight="1" x14ac:dyDescent="0.3">
      <c r="A20" s="120"/>
      <c r="B20" s="158"/>
      <c r="C20" s="159"/>
      <c r="D20" s="126"/>
      <c r="E20" s="177"/>
      <c r="F20" s="178"/>
      <c r="G20" s="179"/>
      <c r="H20" s="55"/>
      <c r="I20" s="54"/>
      <c r="J20" s="54"/>
      <c r="K20" s="160"/>
      <c r="L20" s="161"/>
      <c r="M20" s="54"/>
      <c r="N20" s="131"/>
      <c r="O20" s="103"/>
      <c r="P20" s="162"/>
      <c r="Q20" s="163"/>
      <c r="R20" s="104"/>
      <c r="S20" s="102"/>
      <c r="T20" s="127"/>
      <c r="U20" s="127"/>
      <c r="V20" s="128">
        <f>HYPERLINK("#'"&amp;D20&amp;"'!A7",D20)</f>
        <v>0</v>
      </c>
      <c r="W20" s="77" t="e" cm="1">
        <f t="array" ref="W20">+INDEX(Lista,ROW())</f>
        <v>#NAME?</v>
      </c>
      <c r="X20" s="118"/>
    </row>
    <row r="21" spans="1:24" s="24" customFormat="1" ht="16.5" customHeight="1" x14ac:dyDescent="0.3">
      <c r="A21" s="120"/>
      <c r="B21" s="132"/>
      <c r="C21" s="133"/>
      <c r="D21" s="127"/>
      <c r="E21" s="134"/>
      <c r="F21" s="135"/>
      <c r="G21" s="136"/>
      <c r="H21" s="23"/>
      <c r="I21" s="28"/>
      <c r="J21" s="28"/>
      <c r="K21" s="172"/>
      <c r="L21" s="173"/>
      <c r="M21" s="28"/>
      <c r="N21" s="13"/>
      <c r="O21" s="97"/>
      <c r="P21" s="138"/>
      <c r="Q21" s="138"/>
      <c r="R21" s="96"/>
      <c r="S21" s="13"/>
      <c r="T21" s="127"/>
      <c r="U21" s="127"/>
      <c r="V21" s="128">
        <f t="shared" ref="V21:V85" si="0">HYPERLINK("#'"&amp;D21&amp;"'!A7",D21)</f>
        <v>0</v>
      </c>
      <c r="W21" s="112"/>
      <c r="X21" s="118"/>
    </row>
    <row r="22" spans="1:24" s="24" customFormat="1" ht="16.5" customHeight="1" x14ac:dyDescent="0.3">
      <c r="A22" s="120"/>
      <c r="B22" s="132"/>
      <c r="C22" s="133"/>
      <c r="D22" s="127"/>
      <c r="E22" s="134"/>
      <c r="F22" s="135"/>
      <c r="G22" s="136"/>
      <c r="H22" s="23"/>
      <c r="I22" s="28"/>
      <c r="J22" s="28"/>
      <c r="K22" s="172"/>
      <c r="L22" s="173"/>
      <c r="M22" s="28"/>
      <c r="N22" s="13"/>
      <c r="O22" s="97"/>
      <c r="P22" s="138"/>
      <c r="Q22" s="138"/>
      <c r="R22" s="96"/>
      <c r="S22" s="13"/>
      <c r="T22" s="127"/>
      <c r="U22" s="127"/>
      <c r="V22" s="128">
        <f t="shared" si="0"/>
        <v>0</v>
      </c>
      <c r="W22" s="112"/>
      <c r="X22" s="118"/>
    </row>
    <row r="23" spans="1:24" s="24" customFormat="1" ht="16.5" customHeight="1" x14ac:dyDescent="0.3">
      <c r="A23" s="120"/>
      <c r="B23" s="132"/>
      <c r="C23" s="133"/>
      <c r="D23" s="129"/>
      <c r="E23" s="134"/>
      <c r="F23" s="135"/>
      <c r="G23" s="136"/>
      <c r="H23" s="23"/>
      <c r="I23" s="28"/>
      <c r="J23" s="28"/>
      <c r="K23" s="137"/>
      <c r="L23" s="137"/>
      <c r="M23" s="28"/>
      <c r="N23" s="13"/>
      <c r="O23" s="97"/>
      <c r="P23" s="138"/>
      <c r="Q23" s="138"/>
      <c r="R23" s="96"/>
      <c r="S23" s="13"/>
      <c r="T23" s="127"/>
      <c r="U23" s="127"/>
      <c r="V23" s="128">
        <f t="shared" si="0"/>
        <v>0</v>
      </c>
      <c r="W23" s="112"/>
      <c r="X23" s="118"/>
    </row>
    <row r="24" spans="1:24" s="24" customFormat="1" ht="16.5" customHeight="1" x14ac:dyDescent="0.3">
      <c r="A24" s="120"/>
      <c r="B24" s="132"/>
      <c r="C24" s="133"/>
      <c r="D24" s="127"/>
      <c r="E24" s="134"/>
      <c r="F24" s="135"/>
      <c r="G24" s="136"/>
      <c r="H24" s="23"/>
      <c r="I24" s="28"/>
      <c r="J24" s="28"/>
      <c r="K24" s="137"/>
      <c r="L24" s="137"/>
      <c r="M24" s="28"/>
      <c r="N24" s="13"/>
      <c r="O24" s="97"/>
      <c r="P24" s="138"/>
      <c r="Q24" s="138"/>
      <c r="R24" s="96"/>
      <c r="S24" s="13"/>
      <c r="T24" s="127"/>
      <c r="U24" s="127"/>
      <c r="V24" s="128">
        <f t="shared" si="0"/>
        <v>0</v>
      </c>
      <c r="W24" s="112"/>
      <c r="X24" s="118"/>
    </row>
    <row r="25" spans="1:24" s="24" customFormat="1" ht="16.5" customHeight="1" x14ac:dyDescent="0.3">
      <c r="A25" s="120"/>
      <c r="B25" s="132"/>
      <c r="C25" s="133"/>
      <c r="D25" s="127"/>
      <c r="E25" s="134"/>
      <c r="F25" s="135"/>
      <c r="G25" s="136"/>
      <c r="H25" s="23"/>
      <c r="I25" s="28"/>
      <c r="J25" s="28"/>
      <c r="K25" s="137"/>
      <c r="L25" s="137"/>
      <c r="M25" s="28"/>
      <c r="N25" s="13"/>
      <c r="O25" s="97"/>
      <c r="P25" s="138"/>
      <c r="Q25" s="138"/>
      <c r="R25" s="96"/>
      <c r="S25" s="13"/>
      <c r="T25" s="127"/>
      <c r="U25" s="127"/>
      <c r="V25" s="128">
        <f t="shared" ref="V25" si="1">HYPERLINK("#'"&amp;D25&amp;"'!A7",D25)</f>
        <v>0</v>
      </c>
      <c r="W25" s="112"/>
      <c r="X25" s="118"/>
    </row>
    <row r="26" spans="1:24" s="24" customFormat="1" ht="16.5" customHeight="1" x14ac:dyDescent="0.3">
      <c r="A26" s="120"/>
      <c r="B26" s="132"/>
      <c r="C26" s="133"/>
      <c r="D26" s="127"/>
      <c r="E26" s="134"/>
      <c r="F26" s="135"/>
      <c r="G26" s="136"/>
      <c r="H26" s="23"/>
      <c r="I26" s="28"/>
      <c r="J26" s="28"/>
      <c r="K26" s="137"/>
      <c r="L26" s="137"/>
      <c r="M26" s="28"/>
      <c r="N26" s="13"/>
      <c r="O26" s="97"/>
      <c r="P26" s="138"/>
      <c r="Q26" s="138"/>
      <c r="R26" s="96"/>
      <c r="S26" s="13"/>
      <c r="T26" s="127"/>
      <c r="U26" s="127"/>
      <c r="V26" s="128">
        <f t="shared" si="0"/>
        <v>0</v>
      </c>
      <c r="W26" s="112"/>
      <c r="X26" s="118"/>
    </row>
    <row r="27" spans="1:24" s="24" customFormat="1" ht="16.5" customHeight="1" x14ac:dyDescent="0.3">
      <c r="A27" s="120"/>
      <c r="B27" s="132"/>
      <c r="C27" s="133"/>
      <c r="D27" s="127"/>
      <c r="E27" s="134"/>
      <c r="F27" s="135"/>
      <c r="G27" s="136"/>
      <c r="H27" s="23"/>
      <c r="I27" s="28"/>
      <c r="J27" s="13"/>
      <c r="K27" s="137"/>
      <c r="L27" s="137"/>
      <c r="M27" s="28"/>
      <c r="N27" s="13"/>
      <c r="O27" s="98"/>
      <c r="P27" s="138"/>
      <c r="Q27" s="138"/>
      <c r="R27" s="96"/>
      <c r="S27" s="13"/>
      <c r="T27" s="127"/>
      <c r="U27" s="127"/>
      <c r="V27" s="128">
        <f t="shared" si="0"/>
        <v>0</v>
      </c>
      <c r="W27" s="112"/>
      <c r="X27" s="118"/>
    </row>
    <row r="28" spans="1:24" s="24" customFormat="1" ht="16.5" customHeight="1" x14ac:dyDescent="0.3">
      <c r="A28" s="120"/>
      <c r="B28" s="132"/>
      <c r="C28" s="133"/>
      <c r="D28" s="127"/>
      <c r="E28" s="134"/>
      <c r="F28" s="135"/>
      <c r="G28" s="136"/>
      <c r="H28" s="23"/>
      <c r="I28" s="28"/>
      <c r="J28" s="13"/>
      <c r="K28" s="137"/>
      <c r="L28" s="137"/>
      <c r="M28" s="28"/>
      <c r="N28" s="13"/>
      <c r="O28" s="98"/>
      <c r="P28" s="138"/>
      <c r="Q28" s="138"/>
      <c r="R28" s="96"/>
      <c r="S28" s="28"/>
      <c r="T28" s="127"/>
      <c r="U28" s="127"/>
      <c r="V28" s="128">
        <f t="shared" si="0"/>
        <v>0</v>
      </c>
      <c r="W28" s="112"/>
      <c r="X28" s="118"/>
    </row>
    <row r="29" spans="1:24" s="24" customFormat="1" ht="16.5" customHeight="1" x14ac:dyDescent="0.3">
      <c r="A29" s="120"/>
      <c r="B29" s="132"/>
      <c r="C29" s="133"/>
      <c r="D29" s="127"/>
      <c r="E29" s="134"/>
      <c r="F29" s="135"/>
      <c r="G29" s="136"/>
      <c r="H29" s="23"/>
      <c r="I29" s="28"/>
      <c r="J29" s="13"/>
      <c r="K29" s="137"/>
      <c r="L29" s="137"/>
      <c r="M29" s="13"/>
      <c r="N29" s="13"/>
      <c r="O29" s="97"/>
      <c r="P29" s="138"/>
      <c r="Q29" s="138"/>
      <c r="R29" s="96"/>
      <c r="S29" s="13"/>
      <c r="T29" s="127"/>
      <c r="U29" s="127"/>
      <c r="V29" s="128">
        <f t="shared" si="0"/>
        <v>0</v>
      </c>
      <c r="W29" s="112"/>
      <c r="X29" s="118"/>
    </row>
    <row r="30" spans="1:24" s="24" customFormat="1" ht="16.5" customHeight="1" x14ac:dyDescent="0.3">
      <c r="A30" s="120"/>
      <c r="B30" s="132"/>
      <c r="C30" s="133"/>
      <c r="D30" s="127"/>
      <c r="E30" s="134"/>
      <c r="F30" s="135"/>
      <c r="G30" s="136"/>
      <c r="H30" s="23"/>
      <c r="I30" s="28"/>
      <c r="J30" s="13"/>
      <c r="K30" s="137"/>
      <c r="L30" s="137"/>
      <c r="M30" s="13"/>
      <c r="N30" s="13"/>
      <c r="O30" s="97"/>
      <c r="P30" s="138"/>
      <c r="Q30" s="138"/>
      <c r="R30" s="96"/>
      <c r="S30" s="13"/>
      <c r="T30" s="127"/>
      <c r="U30" s="127"/>
      <c r="V30" s="128">
        <f t="shared" si="0"/>
        <v>0</v>
      </c>
      <c r="W30" s="112"/>
      <c r="X30" s="118"/>
    </row>
    <row r="31" spans="1:24" s="24" customFormat="1" ht="16.5" customHeight="1" x14ac:dyDescent="0.25">
      <c r="A31" s="120"/>
      <c r="B31" s="132"/>
      <c r="C31" s="133"/>
      <c r="D31" s="127"/>
      <c r="E31" s="134"/>
      <c r="F31" s="135"/>
      <c r="G31" s="136"/>
      <c r="H31" s="23"/>
      <c r="I31" s="28"/>
      <c r="J31" s="13"/>
      <c r="K31" s="137"/>
      <c r="L31" s="137"/>
      <c r="M31" s="28"/>
      <c r="N31" s="13"/>
      <c r="O31" s="97"/>
      <c r="P31" s="138"/>
      <c r="Q31" s="138"/>
      <c r="R31" s="96"/>
      <c r="S31" s="13"/>
      <c r="T31" s="127"/>
      <c r="U31" s="127"/>
      <c r="V31" s="128">
        <f t="shared" si="0"/>
        <v>0</v>
      </c>
      <c r="W31" s="111"/>
      <c r="X31" s="118"/>
    </row>
    <row r="32" spans="1:24" s="24" customFormat="1" ht="16.5" customHeight="1" x14ac:dyDescent="0.25">
      <c r="A32" s="120"/>
      <c r="B32" s="132"/>
      <c r="C32" s="133"/>
      <c r="D32" s="127"/>
      <c r="E32" s="134"/>
      <c r="F32" s="135"/>
      <c r="G32" s="136"/>
      <c r="H32" s="23"/>
      <c r="I32" s="28"/>
      <c r="J32" s="13"/>
      <c r="K32" s="137"/>
      <c r="L32" s="137"/>
      <c r="M32" s="28"/>
      <c r="N32" s="13"/>
      <c r="O32" s="97"/>
      <c r="P32" s="138"/>
      <c r="Q32" s="138"/>
      <c r="R32" s="96"/>
      <c r="S32" s="13"/>
      <c r="T32" s="127"/>
      <c r="U32" s="127"/>
      <c r="V32" s="128">
        <f t="shared" si="0"/>
        <v>0</v>
      </c>
      <c r="W32" s="111"/>
      <c r="X32" s="118"/>
    </row>
    <row r="33" spans="1:24" s="24" customFormat="1" ht="16.5" customHeight="1" x14ac:dyDescent="0.25">
      <c r="A33" s="120"/>
      <c r="B33" s="132"/>
      <c r="C33" s="133"/>
      <c r="D33" s="127"/>
      <c r="E33" s="172"/>
      <c r="F33" s="180"/>
      <c r="G33" s="173"/>
      <c r="H33" s="23"/>
      <c r="I33" s="28"/>
      <c r="J33" s="47"/>
      <c r="K33" s="137"/>
      <c r="L33" s="137"/>
      <c r="M33" s="28"/>
      <c r="N33" s="13"/>
      <c r="O33" s="98"/>
      <c r="P33" s="138"/>
      <c r="Q33" s="138"/>
      <c r="R33" s="96"/>
      <c r="S33" s="13"/>
      <c r="T33" s="127"/>
      <c r="U33" s="127"/>
      <c r="V33" s="128">
        <f t="shared" si="0"/>
        <v>0</v>
      </c>
      <c r="W33" s="111"/>
      <c r="X33" s="118"/>
    </row>
    <row r="34" spans="1:24" s="24" customFormat="1" ht="16.5" customHeight="1" x14ac:dyDescent="0.25">
      <c r="A34" s="120"/>
      <c r="B34" s="132"/>
      <c r="C34" s="133"/>
      <c r="D34" s="127"/>
      <c r="E34" s="172"/>
      <c r="F34" s="180"/>
      <c r="G34" s="173"/>
      <c r="H34" s="23"/>
      <c r="I34" s="28"/>
      <c r="J34" s="28"/>
      <c r="K34" s="137"/>
      <c r="L34" s="137"/>
      <c r="M34" s="28"/>
      <c r="N34" s="13"/>
      <c r="O34" s="98"/>
      <c r="P34" s="138"/>
      <c r="Q34" s="138"/>
      <c r="R34" s="96"/>
      <c r="S34" s="13"/>
      <c r="T34" s="127"/>
      <c r="U34" s="127"/>
      <c r="V34" s="128">
        <f t="shared" si="0"/>
        <v>0</v>
      </c>
      <c r="W34" s="111"/>
      <c r="X34" s="118"/>
    </row>
    <row r="35" spans="1:24" s="24" customFormat="1" ht="16.5" customHeight="1" x14ac:dyDescent="0.25">
      <c r="A35" s="120"/>
      <c r="B35" s="132"/>
      <c r="C35" s="133"/>
      <c r="D35" s="127"/>
      <c r="E35" s="134"/>
      <c r="F35" s="135"/>
      <c r="G35" s="136"/>
      <c r="H35" s="23"/>
      <c r="I35" s="28"/>
      <c r="J35" s="28"/>
      <c r="K35" s="137"/>
      <c r="L35" s="137"/>
      <c r="M35" s="13"/>
      <c r="N35" s="13"/>
      <c r="O35" s="97"/>
      <c r="P35" s="138"/>
      <c r="Q35" s="138"/>
      <c r="R35" s="96"/>
      <c r="S35" s="13"/>
      <c r="T35" s="127"/>
      <c r="U35" s="127"/>
      <c r="V35" s="128">
        <f t="shared" si="0"/>
        <v>0</v>
      </c>
      <c r="W35" s="111"/>
      <c r="X35" s="118"/>
    </row>
    <row r="36" spans="1:24" s="24" customFormat="1" ht="16.5" customHeight="1" x14ac:dyDescent="0.25">
      <c r="A36" s="120"/>
      <c r="B36" s="132"/>
      <c r="C36" s="133"/>
      <c r="D36" s="127"/>
      <c r="E36" s="134"/>
      <c r="F36" s="135"/>
      <c r="G36" s="136"/>
      <c r="H36" s="23"/>
      <c r="I36" s="28"/>
      <c r="J36" s="28"/>
      <c r="K36" s="137"/>
      <c r="L36" s="137"/>
      <c r="M36" s="13"/>
      <c r="N36" s="13"/>
      <c r="O36" s="97"/>
      <c r="P36" s="138"/>
      <c r="Q36" s="138"/>
      <c r="R36" s="96"/>
      <c r="S36" s="13"/>
      <c r="T36" s="127"/>
      <c r="U36" s="127"/>
      <c r="V36" s="128">
        <f t="shared" si="0"/>
        <v>0</v>
      </c>
      <c r="W36" s="111"/>
      <c r="X36" s="118"/>
    </row>
    <row r="37" spans="1:24" s="24" customFormat="1" ht="16.5" customHeight="1" x14ac:dyDescent="0.25">
      <c r="A37" s="120"/>
      <c r="B37" s="132"/>
      <c r="C37" s="133"/>
      <c r="D37" s="127"/>
      <c r="E37" s="134"/>
      <c r="F37" s="135"/>
      <c r="G37" s="136"/>
      <c r="H37" s="23"/>
      <c r="I37" s="28"/>
      <c r="J37" s="28"/>
      <c r="K37" s="137"/>
      <c r="L37" s="137"/>
      <c r="M37" s="13"/>
      <c r="N37" s="13"/>
      <c r="O37" s="97"/>
      <c r="P37" s="138"/>
      <c r="Q37" s="138"/>
      <c r="R37" s="96"/>
      <c r="S37" s="13"/>
      <c r="T37" s="127"/>
      <c r="U37" s="127"/>
      <c r="V37" s="128">
        <f t="shared" si="0"/>
        <v>0</v>
      </c>
      <c r="W37" s="111"/>
      <c r="X37" s="118"/>
    </row>
    <row r="38" spans="1:24" s="24" customFormat="1" ht="16.5" customHeight="1" x14ac:dyDescent="0.25">
      <c r="A38" s="120"/>
      <c r="B38" s="132"/>
      <c r="C38" s="133"/>
      <c r="D38" s="127"/>
      <c r="E38" s="134"/>
      <c r="F38" s="135"/>
      <c r="G38" s="136"/>
      <c r="H38" s="23"/>
      <c r="I38" s="28"/>
      <c r="J38" s="28"/>
      <c r="K38" s="137"/>
      <c r="L38" s="137"/>
      <c r="M38" s="13"/>
      <c r="N38" s="13"/>
      <c r="O38" s="97"/>
      <c r="P38" s="138"/>
      <c r="Q38" s="138"/>
      <c r="R38" s="96"/>
      <c r="S38" s="13"/>
      <c r="T38" s="127"/>
      <c r="U38" s="127"/>
      <c r="V38" s="128">
        <f t="shared" si="0"/>
        <v>0</v>
      </c>
      <c r="W38" s="111"/>
      <c r="X38" s="118"/>
    </row>
    <row r="39" spans="1:24" s="24" customFormat="1" ht="16.5" customHeight="1" x14ac:dyDescent="0.25">
      <c r="A39" s="120"/>
      <c r="B39" s="132"/>
      <c r="C39" s="133"/>
      <c r="D39" s="127"/>
      <c r="E39" s="134"/>
      <c r="F39" s="135"/>
      <c r="G39" s="136"/>
      <c r="H39" s="23"/>
      <c r="I39" s="28"/>
      <c r="J39" s="28"/>
      <c r="K39" s="137"/>
      <c r="L39" s="137"/>
      <c r="M39" s="13"/>
      <c r="N39" s="13"/>
      <c r="O39" s="97"/>
      <c r="P39" s="138"/>
      <c r="Q39" s="138"/>
      <c r="R39" s="96"/>
      <c r="S39" s="13"/>
      <c r="T39" s="127"/>
      <c r="U39" s="127"/>
      <c r="V39" s="128">
        <f t="shared" si="0"/>
        <v>0</v>
      </c>
      <c r="W39" s="111"/>
      <c r="X39" s="118"/>
    </row>
    <row r="40" spans="1:24" s="24" customFormat="1" ht="16.5" customHeight="1" x14ac:dyDescent="0.25">
      <c r="A40" s="120"/>
      <c r="B40" s="132"/>
      <c r="C40" s="133"/>
      <c r="D40" s="127"/>
      <c r="E40" s="134"/>
      <c r="F40" s="135"/>
      <c r="G40" s="136"/>
      <c r="H40" s="23"/>
      <c r="I40" s="28"/>
      <c r="J40" s="28"/>
      <c r="K40" s="137"/>
      <c r="L40" s="137"/>
      <c r="M40" s="13"/>
      <c r="N40" s="13"/>
      <c r="O40" s="97"/>
      <c r="P40" s="138"/>
      <c r="Q40" s="138"/>
      <c r="R40" s="96"/>
      <c r="S40" s="13"/>
      <c r="T40" s="127"/>
      <c r="U40" s="127"/>
      <c r="V40" s="128">
        <f t="shared" si="0"/>
        <v>0</v>
      </c>
      <c r="W40" s="111"/>
      <c r="X40" s="118"/>
    </row>
    <row r="41" spans="1:24" s="24" customFormat="1" ht="16.5" customHeight="1" x14ac:dyDescent="0.25">
      <c r="A41" s="120"/>
      <c r="B41" s="132"/>
      <c r="C41" s="133"/>
      <c r="D41" s="127"/>
      <c r="E41" s="134"/>
      <c r="F41" s="135"/>
      <c r="G41" s="136"/>
      <c r="H41" s="23"/>
      <c r="I41" s="28"/>
      <c r="J41" s="28"/>
      <c r="K41" s="137"/>
      <c r="L41" s="137"/>
      <c r="M41" s="13"/>
      <c r="N41" s="13"/>
      <c r="O41" s="97"/>
      <c r="P41" s="138"/>
      <c r="Q41" s="138"/>
      <c r="R41" s="96"/>
      <c r="S41" s="13"/>
      <c r="T41" s="127"/>
      <c r="U41" s="127"/>
      <c r="V41" s="128">
        <f t="shared" si="0"/>
        <v>0</v>
      </c>
      <c r="W41" s="111"/>
      <c r="X41" s="118"/>
    </row>
    <row r="42" spans="1:24" s="24" customFormat="1" ht="16.5" customHeight="1" x14ac:dyDescent="0.25">
      <c r="A42" s="120"/>
      <c r="B42" s="132"/>
      <c r="C42" s="133"/>
      <c r="D42" s="127"/>
      <c r="E42" s="134"/>
      <c r="F42" s="135"/>
      <c r="G42" s="136"/>
      <c r="H42" s="23"/>
      <c r="I42" s="28"/>
      <c r="J42" s="28"/>
      <c r="K42" s="137"/>
      <c r="L42" s="137"/>
      <c r="M42" s="13"/>
      <c r="N42" s="13"/>
      <c r="O42" s="97"/>
      <c r="P42" s="138"/>
      <c r="Q42" s="138"/>
      <c r="R42" s="96"/>
      <c r="S42" s="13"/>
      <c r="T42" s="127"/>
      <c r="U42" s="127"/>
      <c r="V42" s="128">
        <f t="shared" si="0"/>
        <v>0</v>
      </c>
      <c r="W42" s="111"/>
      <c r="X42" s="118"/>
    </row>
    <row r="43" spans="1:24" s="24" customFormat="1" ht="16.5" customHeight="1" x14ac:dyDescent="0.25">
      <c r="A43" s="120"/>
      <c r="B43" s="132"/>
      <c r="C43" s="133"/>
      <c r="D43" s="127"/>
      <c r="E43" s="134"/>
      <c r="F43" s="135"/>
      <c r="G43" s="136"/>
      <c r="H43" s="23"/>
      <c r="I43" s="28"/>
      <c r="J43" s="28"/>
      <c r="K43" s="137"/>
      <c r="L43" s="137"/>
      <c r="M43" s="13"/>
      <c r="N43" s="13"/>
      <c r="O43" s="97"/>
      <c r="P43" s="138"/>
      <c r="Q43" s="138"/>
      <c r="R43" s="96"/>
      <c r="S43" s="13"/>
      <c r="T43" s="127"/>
      <c r="U43" s="127"/>
      <c r="V43" s="128">
        <f t="shared" si="0"/>
        <v>0</v>
      </c>
      <c r="W43" s="111"/>
      <c r="X43" s="118"/>
    </row>
    <row r="44" spans="1:24" ht="15" customHeight="1" x14ac:dyDescent="0.25">
      <c r="B44" s="132"/>
      <c r="C44" s="133"/>
      <c r="D44" s="127"/>
      <c r="E44" s="134"/>
      <c r="F44" s="135"/>
      <c r="G44" s="136"/>
      <c r="H44" s="23"/>
      <c r="I44" s="28"/>
      <c r="J44" s="28"/>
      <c r="K44" s="137"/>
      <c r="L44" s="137"/>
      <c r="M44" s="13"/>
      <c r="N44" s="13"/>
      <c r="O44" s="97"/>
      <c r="P44" s="138"/>
      <c r="Q44" s="138"/>
      <c r="R44" s="96"/>
      <c r="S44" s="13"/>
      <c r="T44" s="127"/>
      <c r="U44" s="127"/>
      <c r="V44" s="128">
        <f t="shared" si="0"/>
        <v>0</v>
      </c>
      <c r="W44" s="111"/>
    </row>
    <row r="45" spans="1:24" ht="15.75" customHeight="1" x14ac:dyDescent="0.25">
      <c r="B45" s="132"/>
      <c r="C45" s="133"/>
      <c r="D45" s="127"/>
      <c r="E45" s="134"/>
      <c r="F45" s="135"/>
      <c r="G45" s="136"/>
      <c r="H45" s="23"/>
      <c r="I45" s="28"/>
      <c r="J45" s="13"/>
      <c r="K45" s="137"/>
      <c r="L45" s="137"/>
      <c r="M45" s="28"/>
      <c r="N45" s="13"/>
      <c r="O45" s="97"/>
      <c r="P45" s="138"/>
      <c r="Q45" s="138"/>
      <c r="R45" s="96"/>
      <c r="S45" s="13"/>
      <c r="T45" s="127"/>
      <c r="U45" s="127"/>
      <c r="V45" s="128">
        <f t="shared" si="0"/>
        <v>0</v>
      </c>
      <c r="W45" s="111"/>
    </row>
    <row r="46" spans="1:24" ht="14.4" x14ac:dyDescent="0.25">
      <c r="B46" s="132"/>
      <c r="C46" s="133"/>
      <c r="D46" s="127"/>
      <c r="E46" s="134"/>
      <c r="F46" s="135"/>
      <c r="G46" s="136"/>
      <c r="H46" s="23"/>
      <c r="I46" s="28"/>
      <c r="J46" s="13"/>
      <c r="K46" s="137"/>
      <c r="L46" s="137"/>
      <c r="M46" s="28"/>
      <c r="N46" s="13"/>
      <c r="O46" s="97"/>
      <c r="P46" s="138"/>
      <c r="Q46" s="138"/>
      <c r="R46" s="96"/>
      <c r="S46" s="13"/>
      <c r="T46" s="127"/>
      <c r="U46" s="127"/>
      <c r="V46" s="128">
        <f t="shared" si="0"/>
        <v>0</v>
      </c>
      <c r="W46" s="111"/>
    </row>
    <row r="47" spans="1:24" ht="14.4" x14ac:dyDescent="0.25">
      <c r="B47" s="132"/>
      <c r="C47" s="133"/>
      <c r="D47" s="127"/>
      <c r="E47" s="134"/>
      <c r="F47" s="135"/>
      <c r="G47" s="136"/>
      <c r="H47" s="23"/>
      <c r="I47" s="28"/>
      <c r="J47" s="13"/>
      <c r="K47" s="137"/>
      <c r="L47" s="137"/>
      <c r="M47" s="28"/>
      <c r="N47" s="13"/>
      <c r="O47" s="97"/>
      <c r="P47" s="138"/>
      <c r="Q47" s="138"/>
      <c r="R47" s="96"/>
      <c r="S47" s="13"/>
      <c r="T47" s="127"/>
      <c r="U47" s="127"/>
      <c r="V47" s="128">
        <f t="shared" si="0"/>
        <v>0</v>
      </c>
      <c r="W47" s="111"/>
    </row>
    <row r="48" spans="1:24" ht="14.4" x14ac:dyDescent="0.25">
      <c r="B48" s="132"/>
      <c r="C48" s="133"/>
      <c r="D48" s="127"/>
      <c r="E48" s="134"/>
      <c r="F48" s="135"/>
      <c r="G48" s="136"/>
      <c r="H48" s="23"/>
      <c r="I48" s="28"/>
      <c r="J48" s="13"/>
      <c r="K48" s="137"/>
      <c r="L48" s="137"/>
      <c r="M48" s="28"/>
      <c r="N48" s="13"/>
      <c r="O48" s="97"/>
      <c r="P48" s="138"/>
      <c r="Q48" s="138"/>
      <c r="R48" s="96"/>
      <c r="S48" s="13"/>
      <c r="T48" s="127"/>
      <c r="U48" s="127"/>
      <c r="V48" s="128">
        <f t="shared" si="0"/>
        <v>0</v>
      </c>
      <c r="W48" s="111"/>
    </row>
    <row r="49" spans="2:23" ht="14.4" x14ac:dyDescent="0.25">
      <c r="B49" s="132"/>
      <c r="C49" s="133"/>
      <c r="D49" s="127"/>
      <c r="E49" s="134"/>
      <c r="F49" s="135"/>
      <c r="G49" s="136"/>
      <c r="H49" s="23"/>
      <c r="I49" s="28"/>
      <c r="J49" s="13"/>
      <c r="K49" s="137"/>
      <c r="L49" s="137"/>
      <c r="M49" s="28"/>
      <c r="N49" s="13"/>
      <c r="O49" s="97"/>
      <c r="P49" s="138"/>
      <c r="Q49" s="138"/>
      <c r="R49" s="96"/>
      <c r="S49" s="13"/>
      <c r="T49" s="127"/>
      <c r="U49" s="127"/>
      <c r="V49" s="128">
        <f t="shared" si="0"/>
        <v>0</v>
      </c>
      <c r="W49" s="111"/>
    </row>
    <row r="50" spans="2:23" ht="14.4" x14ac:dyDescent="0.25">
      <c r="B50" s="132"/>
      <c r="C50" s="133"/>
      <c r="D50" s="127"/>
      <c r="E50" s="134"/>
      <c r="F50" s="135"/>
      <c r="G50" s="136"/>
      <c r="H50" s="23"/>
      <c r="I50" s="28"/>
      <c r="J50" s="13"/>
      <c r="K50" s="137"/>
      <c r="L50" s="137"/>
      <c r="M50" s="28"/>
      <c r="N50" s="13"/>
      <c r="O50" s="97"/>
      <c r="P50" s="138"/>
      <c r="Q50" s="138"/>
      <c r="R50" s="96"/>
      <c r="S50" s="13"/>
      <c r="T50" s="127"/>
      <c r="U50" s="127"/>
      <c r="V50" s="128">
        <f t="shared" si="0"/>
        <v>0</v>
      </c>
      <c r="W50" s="111"/>
    </row>
    <row r="51" spans="2:23" ht="14.4" x14ac:dyDescent="0.25">
      <c r="B51" s="132"/>
      <c r="C51" s="133"/>
      <c r="D51" s="127"/>
      <c r="E51" s="134"/>
      <c r="F51" s="135"/>
      <c r="G51" s="136"/>
      <c r="H51" s="23"/>
      <c r="I51" s="28"/>
      <c r="J51" s="13"/>
      <c r="K51" s="137"/>
      <c r="L51" s="137"/>
      <c r="M51" s="28"/>
      <c r="N51" s="13"/>
      <c r="O51" s="97"/>
      <c r="P51" s="138"/>
      <c r="Q51" s="138"/>
      <c r="R51" s="96"/>
      <c r="S51" s="13"/>
      <c r="T51" s="127"/>
      <c r="U51" s="127"/>
      <c r="V51" s="128">
        <f t="shared" si="0"/>
        <v>0</v>
      </c>
      <c r="W51" s="111"/>
    </row>
    <row r="52" spans="2:23" ht="14.4" x14ac:dyDescent="0.25">
      <c r="B52" s="132"/>
      <c r="C52" s="133"/>
      <c r="D52" s="127"/>
      <c r="E52" s="134"/>
      <c r="F52" s="135"/>
      <c r="G52" s="136"/>
      <c r="H52" s="23"/>
      <c r="I52" s="28"/>
      <c r="J52" s="13"/>
      <c r="K52" s="137"/>
      <c r="L52" s="137"/>
      <c r="M52" s="13"/>
      <c r="N52" s="13"/>
      <c r="O52" s="97"/>
      <c r="P52" s="138"/>
      <c r="Q52" s="138"/>
      <c r="R52" s="96"/>
      <c r="S52" s="13"/>
      <c r="T52" s="127"/>
      <c r="U52" s="127"/>
      <c r="V52" s="128">
        <f t="shared" si="0"/>
        <v>0</v>
      </c>
      <c r="W52" s="111"/>
    </row>
    <row r="53" spans="2:23" ht="14.4" x14ac:dyDescent="0.25">
      <c r="B53" s="132"/>
      <c r="C53" s="133"/>
      <c r="D53" s="127"/>
      <c r="E53" s="134"/>
      <c r="F53" s="135"/>
      <c r="G53" s="136"/>
      <c r="H53" s="23"/>
      <c r="I53" s="28"/>
      <c r="J53" s="13"/>
      <c r="K53" s="137"/>
      <c r="L53" s="137"/>
      <c r="M53" s="13"/>
      <c r="N53" s="13"/>
      <c r="O53" s="97"/>
      <c r="P53" s="138"/>
      <c r="Q53" s="138"/>
      <c r="R53" s="96"/>
      <c r="S53" s="13"/>
      <c r="T53" s="127"/>
      <c r="U53" s="127"/>
      <c r="V53" s="128">
        <f t="shared" si="0"/>
        <v>0</v>
      </c>
      <c r="W53" s="111"/>
    </row>
    <row r="54" spans="2:23" ht="14.4" x14ac:dyDescent="0.25">
      <c r="B54" s="132"/>
      <c r="C54" s="133"/>
      <c r="D54" s="25"/>
      <c r="E54" s="172"/>
      <c r="F54" s="180"/>
      <c r="G54" s="173"/>
      <c r="H54" s="23"/>
      <c r="I54" s="28"/>
      <c r="J54" s="13"/>
      <c r="K54" s="137"/>
      <c r="L54" s="137"/>
      <c r="M54" s="13"/>
      <c r="N54" s="13"/>
      <c r="O54" s="97"/>
      <c r="P54" s="138"/>
      <c r="Q54" s="138"/>
      <c r="R54" s="96"/>
      <c r="S54" s="13"/>
      <c r="T54" s="127"/>
      <c r="U54" s="127"/>
      <c r="V54" s="128">
        <f t="shared" si="0"/>
        <v>0</v>
      </c>
      <c r="W54" s="111"/>
    </row>
    <row r="55" spans="2:23" ht="14.4" x14ac:dyDescent="0.25">
      <c r="B55" s="132"/>
      <c r="C55" s="133"/>
      <c r="D55" s="25"/>
      <c r="E55" s="172"/>
      <c r="F55" s="180"/>
      <c r="G55" s="173"/>
      <c r="H55" s="23"/>
      <c r="I55" s="28"/>
      <c r="J55" s="13"/>
      <c r="K55" s="137"/>
      <c r="L55" s="137"/>
      <c r="M55" s="13"/>
      <c r="N55" s="13"/>
      <c r="O55" s="97"/>
      <c r="P55" s="138"/>
      <c r="Q55" s="138"/>
      <c r="R55" s="96"/>
      <c r="S55" s="13"/>
      <c r="T55" s="127"/>
      <c r="U55" s="127"/>
      <c r="V55" s="128">
        <f t="shared" si="0"/>
        <v>0</v>
      </c>
      <c r="W55" s="111"/>
    </row>
    <row r="56" spans="2:23" ht="14.4" x14ac:dyDescent="0.25">
      <c r="B56" s="132"/>
      <c r="C56" s="133"/>
      <c r="D56" s="127"/>
      <c r="E56" s="134"/>
      <c r="F56" s="135"/>
      <c r="G56" s="136"/>
      <c r="H56" s="23"/>
      <c r="I56" s="28"/>
      <c r="J56" s="28"/>
      <c r="K56" s="137"/>
      <c r="L56" s="137"/>
      <c r="M56" s="13"/>
      <c r="N56" s="13"/>
      <c r="O56" s="97"/>
      <c r="P56" s="138"/>
      <c r="Q56" s="138"/>
      <c r="R56" s="96"/>
      <c r="S56" s="13"/>
      <c r="T56" s="127"/>
      <c r="U56" s="127"/>
      <c r="V56" s="128">
        <f t="shared" si="0"/>
        <v>0</v>
      </c>
      <c r="W56" s="111"/>
    </row>
    <row r="57" spans="2:23" ht="14.4" x14ac:dyDescent="0.25">
      <c r="B57" s="132"/>
      <c r="C57" s="133"/>
      <c r="D57" s="127"/>
      <c r="E57" s="134"/>
      <c r="F57" s="135"/>
      <c r="G57" s="136"/>
      <c r="H57" s="23"/>
      <c r="I57" s="28"/>
      <c r="J57" s="13"/>
      <c r="K57" s="137"/>
      <c r="L57" s="137"/>
      <c r="M57" s="13"/>
      <c r="N57" s="13"/>
      <c r="O57" s="97"/>
      <c r="P57" s="138"/>
      <c r="Q57" s="138"/>
      <c r="R57" s="96"/>
      <c r="S57" s="13"/>
      <c r="T57" s="127"/>
      <c r="U57" s="127"/>
      <c r="V57" s="128">
        <f t="shared" si="0"/>
        <v>0</v>
      </c>
      <c r="W57" s="111"/>
    </row>
    <row r="58" spans="2:23" ht="14.4" x14ac:dyDescent="0.25">
      <c r="B58" s="132"/>
      <c r="C58" s="133"/>
      <c r="D58" s="127"/>
      <c r="E58" s="134"/>
      <c r="F58" s="135"/>
      <c r="G58" s="136"/>
      <c r="H58" s="23"/>
      <c r="I58" s="28"/>
      <c r="J58" s="13"/>
      <c r="K58" s="137"/>
      <c r="L58" s="137"/>
      <c r="M58" s="13"/>
      <c r="N58" s="13"/>
      <c r="O58" s="97"/>
      <c r="P58" s="138"/>
      <c r="Q58" s="138"/>
      <c r="R58" s="96"/>
      <c r="S58" s="13"/>
      <c r="T58" s="127"/>
      <c r="U58" s="127"/>
      <c r="V58" s="128">
        <f t="shared" si="0"/>
        <v>0</v>
      </c>
      <c r="W58" s="111"/>
    </row>
    <row r="59" spans="2:23" ht="14.4" x14ac:dyDescent="0.25">
      <c r="B59" s="132"/>
      <c r="C59" s="133"/>
      <c r="D59" s="127"/>
      <c r="E59" s="134"/>
      <c r="F59" s="135"/>
      <c r="G59" s="136"/>
      <c r="H59" s="23"/>
      <c r="I59" s="28"/>
      <c r="J59" s="28"/>
      <c r="K59" s="137"/>
      <c r="L59" s="137"/>
      <c r="M59" s="13"/>
      <c r="N59" s="13"/>
      <c r="O59" s="97"/>
      <c r="P59" s="138"/>
      <c r="Q59" s="138"/>
      <c r="R59" s="96"/>
      <c r="S59" s="13"/>
      <c r="T59" s="127"/>
      <c r="U59" s="127"/>
      <c r="V59" s="128">
        <f t="shared" si="0"/>
        <v>0</v>
      </c>
      <c r="W59" s="111"/>
    </row>
    <row r="60" spans="2:23" ht="14.4" x14ac:dyDescent="0.25">
      <c r="B60" s="132"/>
      <c r="C60" s="133"/>
      <c r="D60" s="127"/>
      <c r="E60" s="134"/>
      <c r="F60" s="135"/>
      <c r="G60" s="136"/>
      <c r="H60" s="23"/>
      <c r="I60" s="28"/>
      <c r="J60" s="13"/>
      <c r="K60" s="137"/>
      <c r="L60" s="137"/>
      <c r="M60" s="13"/>
      <c r="N60" s="13"/>
      <c r="O60" s="97"/>
      <c r="P60" s="138"/>
      <c r="Q60" s="138"/>
      <c r="R60" s="96"/>
      <c r="S60" s="13"/>
      <c r="T60" s="127"/>
      <c r="U60" s="127"/>
      <c r="V60" s="128">
        <f t="shared" si="0"/>
        <v>0</v>
      </c>
      <c r="W60" s="111"/>
    </row>
    <row r="61" spans="2:23" ht="14.4" x14ac:dyDescent="0.25">
      <c r="B61" s="132"/>
      <c r="C61" s="133"/>
      <c r="D61" s="127"/>
      <c r="E61" s="134"/>
      <c r="F61" s="135"/>
      <c r="G61" s="136"/>
      <c r="H61" s="23"/>
      <c r="I61" s="28"/>
      <c r="J61" s="13"/>
      <c r="K61" s="137"/>
      <c r="L61" s="137"/>
      <c r="M61" s="13"/>
      <c r="N61" s="13"/>
      <c r="O61" s="97"/>
      <c r="P61" s="138"/>
      <c r="Q61" s="138"/>
      <c r="R61" s="96"/>
      <c r="S61" s="13"/>
      <c r="T61" s="127"/>
      <c r="U61" s="127"/>
      <c r="V61" s="128">
        <f t="shared" si="0"/>
        <v>0</v>
      </c>
      <c r="W61" s="111"/>
    </row>
    <row r="62" spans="2:23" ht="14.4" x14ac:dyDescent="0.25">
      <c r="B62" s="132"/>
      <c r="C62" s="133"/>
      <c r="D62" s="127"/>
      <c r="E62" s="134"/>
      <c r="F62" s="135"/>
      <c r="G62" s="136"/>
      <c r="H62" s="23"/>
      <c r="I62" s="28"/>
      <c r="J62" s="13"/>
      <c r="K62" s="137"/>
      <c r="L62" s="137"/>
      <c r="M62" s="13"/>
      <c r="N62" s="13"/>
      <c r="O62" s="97"/>
      <c r="P62" s="138"/>
      <c r="Q62" s="138"/>
      <c r="R62" s="96"/>
      <c r="S62" s="13"/>
      <c r="T62" s="127"/>
      <c r="U62" s="127"/>
      <c r="V62" s="128">
        <f t="shared" si="0"/>
        <v>0</v>
      </c>
      <c r="W62" s="111"/>
    </row>
    <row r="63" spans="2:23" ht="14.4" x14ac:dyDescent="0.25">
      <c r="B63" s="132"/>
      <c r="C63" s="133"/>
      <c r="D63" s="127"/>
      <c r="E63" s="134"/>
      <c r="F63" s="135"/>
      <c r="G63" s="136"/>
      <c r="H63" s="23"/>
      <c r="I63" s="28"/>
      <c r="J63" s="13"/>
      <c r="K63" s="137"/>
      <c r="L63" s="137"/>
      <c r="M63" s="28"/>
      <c r="N63" s="13"/>
      <c r="O63" s="97"/>
      <c r="P63" s="138"/>
      <c r="Q63" s="138"/>
      <c r="R63" s="96"/>
      <c r="S63" s="28"/>
      <c r="T63" s="127"/>
      <c r="U63" s="127"/>
      <c r="V63" s="128">
        <f t="shared" si="0"/>
        <v>0</v>
      </c>
      <c r="W63" s="111"/>
    </row>
    <row r="64" spans="2:23" ht="14.4" x14ac:dyDescent="0.25">
      <c r="B64" s="132"/>
      <c r="C64" s="133"/>
      <c r="D64" s="127"/>
      <c r="E64" s="134"/>
      <c r="F64" s="135"/>
      <c r="G64" s="136"/>
      <c r="H64" s="23"/>
      <c r="I64" s="28"/>
      <c r="J64" s="13"/>
      <c r="K64" s="137"/>
      <c r="L64" s="137"/>
      <c r="M64" s="28"/>
      <c r="N64" s="13"/>
      <c r="O64" s="97"/>
      <c r="P64" s="138"/>
      <c r="Q64" s="138"/>
      <c r="R64" s="96"/>
      <c r="S64" s="13"/>
      <c r="T64" s="127"/>
      <c r="U64" s="127"/>
      <c r="V64" s="128">
        <f t="shared" si="0"/>
        <v>0</v>
      </c>
      <c r="W64" s="111"/>
    </row>
    <row r="65" spans="2:23" ht="14.4" x14ac:dyDescent="0.25">
      <c r="B65" s="132"/>
      <c r="C65" s="133"/>
      <c r="D65" s="127"/>
      <c r="H65" s="23"/>
      <c r="I65" s="28"/>
      <c r="J65" s="13"/>
      <c r="K65" s="137"/>
      <c r="L65" s="137"/>
      <c r="M65" s="28"/>
      <c r="N65" s="13"/>
      <c r="O65" s="97"/>
      <c r="P65" s="138"/>
      <c r="Q65" s="138"/>
      <c r="R65" s="96"/>
      <c r="S65" s="13"/>
      <c r="T65" s="127"/>
      <c r="U65" s="127"/>
      <c r="V65" s="128">
        <f t="shared" si="0"/>
        <v>0</v>
      </c>
      <c r="W65" s="111"/>
    </row>
    <row r="66" spans="2:23" ht="14.4" x14ac:dyDescent="0.25">
      <c r="B66" s="132"/>
      <c r="C66" s="133"/>
      <c r="D66" s="127"/>
      <c r="E66" s="134"/>
      <c r="F66" s="135"/>
      <c r="G66" s="136"/>
      <c r="H66" s="23"/>
      <c r="I66" s="28"/>
      <c r="J66" s="13"/>
      <c r="K66" s="137"/>
      <c r="L66" s="137"/>
      <c r="M66" s="28"/>
      <c r="N66" s="13"/>
      <c r="O66" s="97"/>
      <c r="P66" s="138"/>
      <c r="Q66" s="138"/>
      <c r="R66" s="96"/>
      <c r="S66" s="13"/>
      <c r="T66" s="127"/>
      <c r="U66" s="127"/>
      <c r="V66" s="128">
        <f t="shared" si="0"/>
        <v>0</v>
      </c>
      <c r="W66" s="111"/>
    </row>
    <row r="67" spans="2:23" ht="14.4" x14ac:dyDescent="0.25">
      <c r="B67" s="132"/>
      <c r="C67" s="133"/>
      <c r="D67" s="127"/>
      <c r="E67" s="134"/>
      <c r="F67" s="135"/>
      <c r="G67" s="136"/>
      <c r="H67" s="23"/>
      <c r="I67" s="28"/>
      <c r="J67" s="48"/>
      <c r="K67" s="137"/>
      <c r="L67" s="137"/>
      <c r="M67" s="28"/>
      <c r="N67" s="13"/>
      <c r="O67" s="97"/>
      <c r="P67" s="138"/>
      <c r="Q67" s="138"/>
      <c r="R67" s="96"/>
      <c r="S67" s="13"/>
      <c r="T67" s="127"/>
      <c r="U67" s="127"/>
      <c r="V67" s="128">
        <f t="shared" si="0"/>
        <v>0</v>
      </c>
      <c r="W67" s="111"/>
    </row>
    <row r="68" spans="2:23" ht="14.4" x14ac:dyDescent="0.25">
      <c r="B68" s="132"/>
      <c r="C68" s="133"/>
      <c r="D68" s="127"/>
      <c r="E68" s="134"/>
      <c r="F68" s="135"/>
      <c r="G68" s="136"/>
      <c r="H68" s="23"/>
      <c r="I68" s="28"/>
      <c r="J68" s="13"/>
      <c r="K68" s="137"/>
      <c r="L68" s="137"/>
      <c r="M68" s="28"/>
      <c r="N68" s="13"/>
      <c r="O68" s="97"/>
      <c r="P68" s="138"/>
      <c r="Q68" s="138"/>
      <c r="R68" s="96"/>
      <c r="S68" s="13"/>
      <c r="T68" s="127"/>
      <c r="U68" s="127"/>
      <c r="V68" s="128">
        <f t="shared" si="0"/>
        <v>0</v>
      </c>
      <c r="W68" s="111"/>
    </row>
    <row r="69" spans="2:23" ht="14.4" x14ac:dyDescent="0.25">
      <c r="B69" s="132"/>
      <c r="C69" s="133"/>
      <c r="D69" s="127"/>
      <c r="E69" s="134"/>
      <c r="F69" s="135"/>
      <c r="G69" s="136"/>
      <c r="H69" s="23"/>
      <c r="I69" s="28"/>
      <c r="J69" s="28"/>
      <c r="K69" s="137"/>
      <c r="L69" s="137"/>
      <c r="M69" s="28"/>
      <c r="N69" s="13"/>
      <c r="O69" s="97"/>
      <c r="P69" s="138"/>
      <c r="Q69" s="138"/>
      <c r="R69" s="96"/>
      <c r="S69" s="13"/>
      <c r="T69" s="127"/>
      <c r="U69" s="127"/>
      <c r="V69" s="128">
        <f t="shared" si="0"/>
        <v>0</v>
      </c>
      <c r="W69" s="111"/>
    </row>
    <row r="70" spans="2:23" ht="14.4" x14ac:dyDescent="0.25">
      <c r="B70" s="132"/>
      <c r="C70" s="133"/>
      <c r="D70" s="127"/>
      <c r="E70" s="134"/>
      <c r="F70" s="135"/>
      <c r="G70" s="136"/>
      <c r="H70" s="23"/>
      <c r="I70" s="28"/>
      <c r="J70" s="28"/>
      <c r="K70" s="137"/>
      <c r="L70" s="137"/>
      <c r="M70" s="28"/>
      <c r="N70" s="13"/>
      <c r="O70" s="97"/>
      <c r="P70" s="138"/>
      <c r="Q70" s="138"/>
      <c r="R70" s="96"/>
      <c r="S70" s="13"/>
      <c r="T70" s="127"/>
      <c r="U70" s="127"/>
      <c r="V70" s="128">
        <f t="shared" si="0"/>
        <v>0</v>
      </c>
      <c r="W70" s="111"/>
    </row>
    <row r="71" spans="2:23" ht="14.4" x14ac:dyDescent="0.25">
      <c r="B71" s="132"/>
      <c r="C71" s="133"/>
      <c r="D71" s="127"/>
      <c r="E71" s="134"/>
      <c r="F71" s="135"/>
      <c r="G71" s="136"/>
      <c r="H71" s="23"/>
      <c r="I71" s="28"/>
      <c r="J71" s="28"/>
      <c r="K71" s="137"/>
      <c r="L71" s="137"/>
      <c r="M71" s="28"/>
      <c r="N71" s="13"/>
      <c r="O71" s="97"/>
      <c r="P71" s="138"/>
      <c r="Q71" s="138"/>
      <c r="R71" s="96"/>
      <c r="S71" s="13"/>
      <c r="T71" s="127"/>
      <c r="U71" s="127"/>
      <c r="V71" s="128">
        <f t="shared" si="0"/>
        <v>0</v>
      </c>
      <c r="W71" s="111"/>
    </row>
    <row r="72" spans="2:23" ht="14.4" x14ac:dyDescent="0.25">
      <c r="B72" s="132"/>
      <c r="C72" s="133"/>
      <c r="D72" s="127"/>
      <c r="E72" s="134"/>
      <c r="F72" s="135"/>
      <c r="G72" s="136"/>
      <c r="H72" s="23"/>
      <c r="I72" s="28"/>
      <c r="J72" s="28"/>
      <c r="K72" s="137"/>
      <c r="L72" s="137"/>
      <c r="M72" s="28"/>
      <c r="N72" s="13"/>
      <c r="O72" s="97"/>
      <c r="P72" s="138"/>
      <c r="Q72" s="138"/>
      <c r="R72" s="96"/>
      <c r="S72" s="13"/>
      <c r="T72" s="127"/>
      <c r="U72" s="127"/>
      <c r="V72" s="128">
        <f t="shared" si="0"/>
        <v>0</v>
      </c>
      <c r="W72" s="111"/>
    </row>
    <row r="73" spans="2:23" ht="14.4" x14ac:dyDescent="0.25">
      <c r="B73" s="132"/>
      <c r="C73" s="133"/>
      <c r="D73" s="127"/>
      <c r="E73" s="134"/>
      <c r="F73" s="135"/>
      <c r="G73" s="136"/>
      <c r="H73" s="23"/>
      <c r="I73" s="28"/>
      <c r="J73" s="28"/>
      <c r="K73" s="137"/>
      <c r="L73" s="137"/>
      <c r="M73" s="28"/>
      <c r="N73" s="13"/>
      <c r="O73" s="97"/>
      <c r="P73" s="138"/>
      <c r="Q73" s="138"/>
      <c r="R73" s="96"/>
      <c r="S73" s="13"/>
      <c r="T73" s="127"/>
      <c r="U73" s="127"/>
      <c r="V73" s="128">
        <f t="shared" si="0"/>
        <v>0</v>
      </c>
      <c r="W73" s="111"/>
    </row>
    <row r="74" spans="2:23" ht="14.4" x14ac:dyDescent="0.25">
      <c r="B74" s="132"/>
      <c r="C74" s="133"/>
      <c r="D74" s="127"/>
      <c r="E74" s="172"/>
      <c r="F74" s="180"/>
      <c r="G74" s="173"/>
      <c r="H74" s="23"/>
      <c r="I74" s="28"/>
      <c r="J74" s="13"/>
      <c r="K74" s="137"/>
      <c r="L74" s="137"/>
      <c r="M74" s="28"/>
      <c r="N74" s="13"/>
      <c r="O74" s="97"/>
      <c r="P74" s="138"/>
      <c r="Q74" s="138"/>
      <c r="R74" s="96"/>
      <c r="S74" s="13"/>
      <c r="T74" s="127"/>
      <c r="U74" s="127"/>
      <c r="V74" s="128">
        <f t="shared" si="0"/>
        <v>0</v>
      </c>
      <c r="W74" s="111"/>
    </row>
    <row r="75" spans="2:23" ht="14.4" x14ac:dyDescent="0.25">
      <c r="B75" s="132"/>
      <c r="C75" s="133"/>
      <c r="D75" s="127"/>
      <c r="E75" s="134"/>
      <c r="F75" s="135"/>
      <c r="G75" s="136"/>
      <c r="H75" s="23"/>
      <c r="I75" s="28"/>
      <c r="J75" s="13"/>
      <c r="K75" s="137"/>
      <c r="L75" s="137"/>
      <c r="M75" s="28"/>
      <c r="N75" s="13"/>
      <c r="O75" s="97"/>
      <c r="P75" s="138"/>
      <c r="Q75" s="138"/>
      <c r="R75" s="96"/>
      <c r="S75" s="13"/>
      <c r="T75" s="127"/>
      <c r="U75" s="127"/>
      <c r="V75" s="128">
        <f t="shared" si="0"/>
        <v>0</v>
      </c>
      <c r="W75" s="110"/>
    </row>
    <row r="76" spans="2:23" ht="14.4" x14ac:dyDescent="0.25">
      <c r="B76" s="132"/>
      <c r="C76" s="133"/>
      <c r="D76" s="127"/>
      <c r="E76" s="134"/>
      <c r="F76" s="135"/>
      <c r="G76" s="136"/>
      <c r="H76" s="23"/>
      <c r="I76" s="28"/>
      <c r="J76" s="13"/>
      <c r="K76" s="137"/>
      <c r="L76" s="137"/>
      <c r="M76" s="28"/>
      <c r="N76" s="13"/>
      <c r="O76" s="97"/>
      <c r="P76" s="138"/>
      <c r="Q76" s="138"/>
      <c r="R76" s="96"/>
      <c r="S76" s="13"/>
      <c r="T76" s="127"/>
      <c r="U76" s="127"/>
      <c r="V76" s="128">
        <f t="shared" si="0"/>
        <v>0</v>
      </c>
      <c r="W76" s="101"/>
    </row>
    <row r="77" spans="2:23" ht="14.4" x14ac:dyDescent="0.25">
      <c r="B77" s="132"/>
      <c r="C77" s="133"/>
      <c r="D77" s="127"/>
      <c r="E77" s="134"/>
      <c r="F77" s="135"/>
      <c r="G77" s="136"/>
      <c r="H77" s="23"/>
      <c r="I77" s="28"/>
      <c r="J77" s="13"/>
      <c r="K77" s="137"/>
      <c r="L77" s="137"/>
      <c r="M77" s="28"/>
      <c r="N77" s="13"/>
      <c r="O77" s="97"/>
      <c r="P77" s="138"/>
      <c r="Q77" s="138"/>
      <c r="R77" s="96"/>
      <c r="S77" s="13"/>
      <c r="T77" s="127"/>
      <c r="U77" s="127"/>
      <c r="V77" s="128">
        <f t="shared" si="0"/>
        <v>0</v>
      </c>
      <c r="W77" s="101"/>
    </row>
    <row r="78" spans="2:23" ht="14.4" x14ac:dyDescent="0.25">
      <c r="B78" s="132"/>
      <c r="C78" s="133"/>
      <c r="D78" s="127"/>
      <c r="E78" s="134"/>
      <c r="F78" s="135"/>
      <c r="G78" s="136"/>
      <c r="H78" s="23"/>
      <c r="I78" s="28"/>
      <c r="J78" s="13"/>
      <c r="K78" s="137"/>
      <c r="L78" s="137"/>
      <c r="M78" s="28"/>
      <c r="N78" s="13"/>
      <c r="O78" s="97"/>
      <c r="P78" s="138"/>
      <c r="Q78" s="138"/>
      <c r="R78" s="96"/>
      <c r="S78" s="28"/>
      <c r="T78" s="127"/>
      <c r="U78" s="127"/>
      <c r="V78" s="128">
        <f t="shared" si="0"/>
        <v>0</v>
      </c>
      <c r="W78" s="101"/>
    </row>
    <row r="79" spans="2:23" ht="14.4" x14ac:dyDescent="0.25">
      <c r="B79" s="132"/>
      <c r="C79" s="133"/>
      <c r="D79" s="127"/>
      <c r="E79" s="134"/>
      <c r="F79" s="135"/>
      <c r="G79" s="136"/>
      <c r="H79" s="23"/>
      <c r="I79" s="28"/>
      <c r="J79" s="13"/>
      <c r="K79" s="137"/>
      <c r="L79" s="137"/>
      <c r="M79" s="28"/>
      <c r="N79" s="13"/>
      <c r="O79" s="97"/>
      <c r="P79" s="138"/>
      <c r="Q79" s="138"/>
      <c r="R79" s="96"/>
      <c r="S79" s="28"/>
      <c r="T79" s="127"/>
      <c r="U79" s="127"/>
      <c r="V79" s="128">
        <f t="shared" si="0"/>
        <v>0</v>
      </c>
      <c r="W79" s="101"/>
    </row>
    <row r="80" spans="2:23" ht="14.4" x14ac:dyDescent="0.25">
      <c r="B80" s="132"/>
      <c r="C80" s="133"/>
      <c r="D80" s="127"/>
      <c r="E80" s="134"/>
      <c r="F80" s="135"/>
      <c r="G80" s="136"/>
      <c r="H80" s="23"/>
      <c r="I80" s="28"/>
      <c r="J80" s="13"/>
      <c r="K80" s="137"/>
      <c r="L80" s="137"/>
      <c r="M80" s="28"/>
      <c r="N80" s="13"/>
      <c r="O80" s="97"/>
      <c r="P80" s="138"/>
      <c r="Q80" s="138"/>
      <c r="R80" s="96"/>
      <c r="S80" s="13"/>
      <c r="T80" s="127"/>
      <c r="U80" s="127"/>
      <c r="V80" s="128">
        <f t="shared" si="0"/>
        <v>0</v>
      </c>
      <c r="W80" s="101"/>
    </row>
    <row r="81" spans="2:23" ht="14.4" x14ac:dyDescent="0.25">
      <c r="B81" s="132"/>
      <c r="C81" s="133"/>
      <c r="D81" s="127"/>
      <c r="E81" s="134"/>
      <c r="F81" s="135"/>
      <c r="G81" s="136"/>
      <c r="H81" s="23"/>
      <c r="I81" s="28"/>
      <c r="J81" s="13"/>
      <c r="K81" s="137"/>
      <c r="L81" s="137"/>
      <c r="M81" s="28"/>
      <c r="N81" s="13"/>
      <c r="O81" s="97"/>
      <c r="P81" s="138"/>
      <c r="Q81" s="138"/>
      <c r="R81" s="96"/>
      <c r="S81" s="13"/>
      <c r="T81" s="127"/>
      <c r="U81" s="127"/>
      <c r="V81" s="128">
        <f t="shared" si="0"/>
        <v>0</v>
      </c>
      <c r="W81" s="101"/>
    </row>
    <row r="82" spans="2:23" ht="14.4" x14ac:dyDescent="0.25">
      <c r="B82" s="132"/>
      <c r="C82" s="133"/>
      <c r="D82" s="127"/>
      <c r="E82" s="134"/>
      <c r="F82" s="135"/>
      <c r="G82" s="136"/>
      <c r="H82" s="23"/>
      <c r="I82" s="28"/>
      <c r="J82" s="13"/>
      <c r="K82" s="137"/>
      <c r="L82" s="137"/>
      <c r="M82" s="28"/>
      <c r="N82" s="13"/>
      <c r="O82" s="97"/>
      <c r="P82" s="138"/>
      <c r="Q82" s="138"/>
      <c r="R82" s="96"/>
      <c r="S82" s="13"/>
      <c r="T82" s="127"/>
      <c r="U82" s="127"/>
      <c r="V82" s="128">
        <f t="shared" si="0"/>
        <v>0</v>
      </c>
      <c r="W82" s="101"/>
    </row>
    <row r="83" spans="2:23" ht="14.4" x14ac:dyDescent="0.25">
      <c r="B83" s="132"/>
      <c r="C83" s="133"/>
      <c r="D83" s="127"/>
      <c r="E83" s="134"/>
      <c r="F83" s="135"/>
      <c r="G83" s="136"/>
      <c r="H83" s="23"/>
      <c r="I83" s="28"/>
      <c r="J83" s="13"/>
      <c r="K83" s="137"/>
      <c r="L83" s="137"/>
      <c r="M83" s="28"/>
      <c r="N83" s="13"/>
      <c r="O83" s="97"/>
      <c r="P83" s="138"/>
      <c r="Q83" s="138"/>
      <c r="R83" s="96"/>
      <c r="S83" s="13"/>
      <c r="T83" s="127"/>
      <c r="U83" s="127"/>
      <c r="V83" s="128">
        <f t="shared" si="0"/>
        <v>0</v>
      </c>
      <c r="W83" s="101"/>
    </row>
    <row r="84" spans="2:23" ht="14.4" x14ac:dyDescent="0.25">
      <c r="B84" s="132"/>
      <c r="C84" s="133"/>
      <c r="D84" s="127"/>
      <c r="E84" s="134"/>
      <c r="F84" s="135"/>
      <c r="G84" s="136"/>
      <c r="H84" s="23"/>
      <c r="I84" s="28"/>
      <c r="J84" s="13"/>
      <c r="K84" s="137"/>
      <c r="L84" s="137"/>
      <c r="M84" s="28"/>
      <c r="N84" s="13"/>
      <c r="O84" s="97"/>
      <c r="P84" s="138"/>
      <c r="Q84" s="138"/>
      <c r="R84" s="96"/>
      <c r="S84" s="13"/>
      <c r="T84" s="127"/>
      <c r="U84" s="127"/>
      <c r="V84" s="128">
        <f t="shared" si="0"/>
        <v>0</v>
      </c>
      <c r="W84" s="101"/>
    </row>
    <row r="85" spans="2:23" ht="14.4" x14ac:dyDescent="0.25">
      <c r="B85" s="132"/>
      <c r="C85" s="133"/>
      <c r="D85" s="127"/>
      <c r="E85" s="134"/>
      <c r="F85" s="135"/>
      <c r="G85" s="136"/>
      <c r="H85" s="23"/>
      <c r="I85" s="28"/>
      <c r="J85" s="13"/>
      <c r="K85" s="137"/>
      <c r="L85" s="137"/>
      <c r="M85" s="28"/>
      <c r="N85" s="13"/>
      <c r="O85" s="97"/>
      <c r="P85" s="138"/>
      <c r="Q85" s="138"/>
      <c r="R85" s="96"/>
      <c r="S85" s="13"/>
      <c r="T85" s="127"/>
      <c r="U85" s="127"/>
      <c r="V85" s="128">
        <f t="shared" si="0"/>
        <v>0</v>
      </c>
      <c r="W85" s="101"/>
    </row>
    <row r="86" spans="2:23" ht="14.4" x14ac:dyDescent="0.25">
      <c r="B86" s="132"/>
      <c r="C86" s="133"/>
      <c r="D86" s="127"/>
      <c r="E86" s="134"/>
      <c r="F86" s="135"/>
      <c r="G86" s="136"/>
      <c r="H86" s="23"/>
      <c r="I86" s="28"/>
      <c r="J86" s="13"/>
      <c r="K86" s="137"/>
      <c r="L86" s="137"/>
      <c r="M86" s="28"/>
      <c r="N86" s="13"/>
      <c r="O86" s="97"/>
      <c r="P86" s="138"/>
      <c r="Q86" s="138"/>
      <c r="R86" s="96"/>
      <c r="S86" s="13"/>
      <c r="T86" s="127"/>
      <c r="U86" s="127"/>
      <c r="V86" s="128">
        <f t="shared" ref="V86:V145" si="2">HYPERLINK("#'"&amp;D86&amp;"'!A7",D86)</f>
        <v>0</v>
      </c>
      <c r="W86" s="101"/>
    </row>
    <row r="87" spans="2:23" ht="14.4" x14ac:dyDescent="0.25">
      <c r="B87" s="132"/>
      <c r="C87" s="133"/>
      <c r="D87" s="127"/>
      <c r="E87" s="134"/>
      <c r="F87" s="135"/>
      <c r="G87" s="136"/>
      <c r="H87" s="23"/>
      <c r="I87" s="28"/>
      <c r="J87" s="13"/>
      <c r="K87" s="137"/>
      <c r="L87" s="137"/>
      <c r="M87" s="28"/>
      <c r="N87" s="13"/>
      <c r="O87" s="97"/>
      <c r="P87" s="138"/>
      <c r="Q87" s="138"/>
      <c r="R87" s="96"/>
      <c r="S87" s="13"/>
      <c r="T87" s="127"/>
      <c r="U87" s="127"/>
      <c r="V87" s="128">
        <f t="shared" si="2"/>
        <v>0</v>
      </c>
      <c r="W87" s="101"/>
    </row>
    <row r="88" spans="2:23" ht="14.4" x14ac:dyDescent="0.25">
      <c r="B88" s="132"/>
      <c r="C88" s="133"/>
      <c r="D88" s="127"/>
      <c r="E88" s="134"/>
      <c r="F88" s="135"/>
      <c r="G88" s="136"/>
      <c r="H88" s="23"/>
      <c r="I88" s="28"/>
      <c r="J88" s="13"/>
      <c r="K88" s="137"/>
      <c r="L88" s="137"/>
      <c r="M88" s="28"/>
      <c r="N88" s="13"/>
      <c r="O88" s="97"/>
      <c r="P88" s="138"/>
      <c r="Q88" s="138"/>
      <c r="R88" s="96"/>
      <c r="S88" s="13"/>
      <c r="T88" s="127"/>
      <c r="U88" s="127"/>
      <c r="V88" s="128">
        <f t="shared" si="2"/>
        <v>0</v>
      </c>
      <c r="W88" s="101"/>
    </row>
    <row r="89" spans="2:23" ht="14.4" x14ac:dyDescent="0.25">
      <c r="B89" s="132"/>
      <c r="C89" s="133"/>
      <c r="D89" s="127"/>
      <c r="E89" s="134"/>
      <c r="F89" s="135"/>
      <c r="G89" s="136"/>
      <c r="H89" s="23"/>
      <c r="I89" s="28"/>
      <c r="J89" s="13"/>
      <c r="K89" s="137"/>
      <c r="L89" s="137"/>
      <c r="M89" s="28"/>
      <c r="N89" s="13"/>
      <c r="O89" s="97"/>
      <c r="P89" s="138"/>
      <c r="Q89" s="138"/>
      <c r="R89" s="96"/>
      <c r="S89" s="13"/>
      <c r="T89" s="127"/>
      <c r="U89" s="127"/>
      <c r="V89" s="128">
        <f t="shared" si="2"/>
        <v>0</v>
      </c>
      <c r="W89" s="101"/>
    </row>
    <row r="90" spans="2:23" ht="14.4" x14ac:dyDescent="0.25">
      <c r="B90" s="132"/>
      <c r="C90" s="133"/>
      <c r="D90" s="127"/>
      <c r="E90" s="134"/>
      <c r="F90" s="135"/>
      <c r="G90" s="136"/>
      <c r="H90" s="23"/>
      <c r="I90" s="28"/>
      <c r="J90" s="28"/>
      <c r="K90" s="137"/>
      <c r="L90" s="137"/>
      <c r="M90" s="28"/>
      <c r="N90" s="13"/>
      <c r="O90" s="97"/>
      <c r="P90" s="138"/>
      <c r="Q90" s="138"/>
      <c r="R90" s="96"/>
      <c r="S90" s="13"/>
      <c r="T90" s="127"/>
      <c r="U90" s="127"/>
      <c r="V90" s="128">
        <f t="shared" si="2"/>
        <v>0</v>
      </c>
      <c r="W90" s="101"/>
    </row>
    <row r="91" spans="2:23" ht="14.4" x14ac:dyDescent="0.25">
      <c r="B91" s="132"/>
      <c r="C91" s="133"/>
      <c r="D91" s="127"/>
      <c r="E91" s="134"/>
      <c r="F91" s="135"/>
      <c r="G91" s="136"/>
      <c r="H91" s="23"/>
      <c r="I91" s="28"/>
      <c r="J91" s="13"/>
      <c r="K91" s="137"/>
      <c r="L91" s="137"/>
      <c r="M91" s="13"/>
      <c r="N91" s="13"/>
      <c r="O91" s="97"/>
      <c r="P91" s="138"/>
      <c r="Q91" s="138"/>
      <c r="R91" s="96"/>
      <c r="S91" s="13"/>
      <c r="T91" s="127"/>
      <c r="U91" s="127"/>
      <c r="V91" s="128">
        <f t="shared" si="2"/>
        <v>0</v>
      </c>
      <c r="W91" s="101"/>
    </row>
    <row r="92" spans="2:23" ht="14.4" x14ac:dyDescent="0.25">
      <c r="B92" s="132"/>
      <c r="C92" s="133"/>
      <c r="D92" s="127"/>
      <c r="E92" s="134"/>
      <c r="F92" s="135"/>
      <c r="G92" s="136"/>
      <c r="H92" s="23"/>
      <c r="I92" s="28"/>
      <c r="J92" s="13"/>
      <c r="K92" s="137"/>
      <c r="L92" s="137"/>
      <c r="M92" s="28"/>
      <c r="N92" s="13"/>
      <c r="O92" s="97"/>
      <c r="P92" s="138"/>
      <c r="Q92" s="138"/>
      <c r="R92" s="96"/>
      <c r="S92" s="13"/>
      <c r="T92" s="127"/>
      <c r="U92" s="127"/>
      <c r="V92" s="128">
        <f t="shared" si="2"/>
        <v>0</v>
      </c>
      <c r="W92" s="101"/>
    </row>
    <row r="93" spans="2:23" ht="14.4" x14ac:dyDescent="0.25">
      <c r="B93" s="132"/>
      <c r="C93" s="133"/>
      <c r="D93" s="127"/>
      <c r="E93" s="134"/>
      <c r="F93" s="135"/>
      <c r="G93" s="136"/>
      <c r="H93" s="23"/>
      <c r="I93" s="28"/>
      <c r="J93" s="13"/>
      <c r="K93" s="137"/>
      <c r="L93" s="137"/>
      <c r="M93" s="28"/>
      <c r="N93" s="13"/>
      <c r="O93" s="97"/>
      <c r="P93" s="138"/>
      <c r="Q93" s="138"/>
      <c r="R93" s="96"/>
      <c r="S93" s="13"/>
      <c r="T93" s="127"/>
      <c r="U93" s="127"/>
      <c r="V93" s="128">
        <f t="shared" si="2"/>
        <v>0</v>
      </c>
      <c r="W93" s="101"/>
    </row>
    <row r="94" spans="2:23" ht="14.4" x14ac:dyDescent="0.25">
      <c r="B94" s="132"/>
      <c r="C94" s="133"/>
      <c r="D94" s="127"/>
      <c r="E94" s="134"/>
      <c r="F94" s="135"/>
      <c r="G94" s="136"/>
      <c r="H94" s="23"/>
      <c r="I94" s="28"/>
      <c r="J94" s="13"/>
      <c r="K94" s="137"/>
      <c r="L94" s="137"/>
      <c r="M94" s="28"/>
      <c r="N94" s="13"/>
      <c r="O94" s="97"/>
      <c r="P94" s="138"/>
      <c r="Q94" s="138"/>
      <c r="R94" s="96"/>
      <c r="S94" s="13"/>
      <c r="T94" s="127"/>
      <c r="U94" s="127"/>
      <c r="V94" s="128">
        <f t="shared" si="2"/>
        <v>0</v>
      </c>
      <c r="W94" s="101"/>
    </row>
    <row r="95" spans="2:23" ht="14.4" x14ac:dyDescent="0.25">
      <c r="B95" s="132"/>
      <c r="C95" s="133"/>
      <c r="D95" s="127"/>
      <c r="E95" s="134"/>
      <c r="F95" s="135"/>
      <c r="G95" s="136"/>
      <c r="H95" s="23"/>
      <c r="I95" s="28"/>
      <c r="J95" s="13"/>
      <c r="K95" s="137"/>
      <c r="L95" s="137"/>
      <c r="M95" s="28"/>
      <c r="N95" s="13"/>
      <c r="O95" s="97"/>
      <c r="P95" s="138"/>
      <c r="Q95" s="138"/>
      <c r="R95" s="96"/>
      <c r="S95" s="13"/>
      <c r="T95" s="127"/>
      <c r="U95" s="127"/>
      <c r="V95" s="128">
        <f t="shared" si="2"/>
        <v>0</v>
      </c>
      <c r="W95" s="101"/>
    </row>
    <row r="96" spans="2:23" ht="14.4" x14ac:dyDescent="0.25">
      <c r="B96" s="132"/>
      <c r="C96" s="133"/>
      <c r="D96" s="127"/>
      <c r="E96" s="134"/>
      <c r="F96" s="135"/>
      <c r="G96" s="136"/>
      <c r="H96" s="23"/>
      <c r="I96" s="28"/>
      <c r="J96" s="13"/>
      <c r="K96" s="137"/>
      <c r="L96" s="137"/>
      <c r="M96" s="28"/>
      <c r="N96" s="13"/>
      <c r="O96" s="97"/>
      <c r="P96" s="138"/>
      <c r="Q96" s="138"/>
      <c r="R96" s="96"/>
      <c r="S96" s="13"/>
      <c r="T96" s="127"/>
      <c r="U96" s="127"/>
      <c r="V96" s="128">
        <f t="shared" si="2"/>
        <v>0</v>
      </c>
      <c r="W96" s="101"/>
    </row>
    <row r="97" spans="2:23" ht="14.4" x14ac:dyDescent="0.25">
      <c r="B97" s="132"/>
      <c r="C97" s="133"/>
      <c r="D97" s="127"/>
      <c r="E97" s="134"/>
      <c r="F97" s="135"/>
      <c r="G97" s="136"/>
      <c r="H97" s="23"/>
      <c r="I97" s="28"/>
      <c r="J97" s="13"/>
      <c r="K97" s="137"/>
      <c r="L97" s="137"/>
      <c r="M97" s="28"/>
      <c r="N97" s="13"/>
      <c r="O97" s="97"/>
      <c r="P97" s="138"/>
      <c r="Q97" s="138"/>
      <c r="R97" s="96"/>
      <c r="S97" s="13"/>
      <c r="T97" s="127"/>
      <c r="U97" s="127"/>
      <c r="V97" s="128">
        <f t="shared" si="2"/>
        <v>0</v>
      </c>
      <c r="W97" s="101"/>
    </row>
    <row r="98" spans="2:23" ht="14.4" x14ac:dyDescent="0.25">
      <c r="B98" s="132"/>
      <c r="C98" s="133"/>
      <c r="D98" s="127"/>
      <c r="E98" s="134"/>
      <c r="F98" s="135"/>
      <c r="G98" s="136"/>
      <c r="H98" s="23"/>
      <c r="I98" s="23"/>
      <c r="J98" s="13"/>
      <c r="K98" s="137"/>
      <c r="L98" s="137"/>
      <c r="M98" s="28"/>
      <c r="N98" s="13"/>
      <c r="O98" s="97"/>
      <c r="P98" s="138"/>
      <c r="Q98" s="138"/>
      <c r="R98" s="96"/>
      <c r="S98" s="13"/>
      <c r="T98" s="127"/>
      <c r="U98" s="127"/>
      <c r="V98" s="128">
        <f t="shared" si="2"/>
        <v>0</v>
      </c>
      <c r="W98" s="101"/>
    </row>
    <row r="99" spans="2:23" ht="14.4" x14ac:dyDescent="0.25">
      <c r="B99" s="132"/>
      <c r="C99" s="133"/>
      <c r="D99" s="127"/>
      <c r="E99" s="134"/>
      <c r="F99" s="135"/>
      <c r="G99" s="136"/>
      <c r="H99" s="23"/>
      <c r="I99" s="23"/>
      <c r="J99" s="13"/>
      <c r="K99" s="137"/>
      <c r="L99" s="137"/>
      <c r="M99" s="28"/>
      <c r="N99" s="13"/>
      <c r="O99" s="97"/>
      <c r="P99" s="138"/>
      <c r="Q99" s="138"/>
      <c r="R99" s="96"/>
      <c r="S99" s="13"/>
      <c r="T99" s="127"/>
      <c r="U99" s="127"/>
      <c r="V99" s="128">
        <f t="shared" si="2"/>
        <v>0</v>
      </c>
      <c r="W99" s="101"/>
    </row>
    <row r="100" spans="2:23" ht="14.4" x14ac:dyDescent="0.25">
      <c r="B100" s="132"/>
      <c r="C100" s="133"/>
      <c r="D100" s="127"/>
      <c r="E100" s="134"/>
      <c r="F100" s="135"/>
      <c r="G100" s="136"/>
      <c r="H100" s="23"/>
      <c r="I100" s="23"/>
      <c r="J100" s="13"/>
      <c r="K100" s="137"/>
      <c r="L100" s="137"/>
      <c r="M100" s="28"/>
      <c r="N100" s="13"/>
      <c r="O100" s="97"/>
      <c r="P100" s="138"/>
      <c r="Q100" s="138"/>
      <c r="R100" s="96"/>
      <c r="S100" s="13"/>
      <c r="T100" s="127"/>
      <c r="U100" s="127"/>
      <c r="V100" s="128">
        <f t="shared" si="2"/>
        <v>0</v>
      </c>
      <c r="W100" s="101"/>
    </row>
    <row r="101" spans="2:23" ht="14.4" x14ac:dyDescent="0.25">
      <c r="B101" s="132"/>
      <c r="C101" s="133"/>
      <c r="D101" s="127"/>
      <c r="E101" s="134"/>
      <c r="F101" s="135"/>
      <c r="G101" s="136"/>
      <c r="H101" s="23"/>
      <c r="I101" s="23"/>
      <c r="J101" s="13"/>
      <c r="K101" s="137"/>
      <c r="L101" s="137"/>
      <c r="M101" s="28"/>
      <c r="N101" s="13"/>
      <c r="O101" s="97"/>
      <c r="P101" s="138"/>
      <c r="Q101" s="138"/>
      <c r="R101" s="96"/>
      <c r="S101" s="13"/>
      <c r="T101" s="127"/>
      <c r="U101" s="127"/>
      <c r="V101" s="128">
        <f t="shared" si="2"/>
        <v>0</v>
      </c>
      <c r="W101" s="101"/>
    </row>
    <row r="102" spans="2:23" ht="14.4" x14ac:dyDescent="0.25">
      <c r="B102" s="132"/>
      <c r="C102" s="133"/>
      <c r="D102" s="127"/>
      <c r="E102" s="134"/>
      <c r="F102" s="135"/>
      <c r="G102" s="136"/>
      <c r="H102" s="23"/>
      <c r="I102" s="23"/>
      <c r="J102" s="13"/>
      <c r="K102" s="137"/>
      <c r="L102" s="137"/>
      <c r="M102" s="28"/>
      <c r="N102" s="13"/>
      <c r="O102" s="97"/>
      <c r="P102" s="138"/>
      <c r="Q102" s="138"/>
      <c r="R102" s="96"/>
      <c r="S102" s="13"/>
      <c r="T102" s="127"/>
      <c r="U102" s="127"/>
      <c r="V102" s="128">
        <f t="shared" si="2"/>
        <v>0</v>
      </c>
      <c r="W102" s="101"/>
    </row>
    <row r="103" spans="2:23" ht="14.4" x14ac:dyDescent="0.25">
      <c r="B103" s="132"/>
      <c r="C103" s="133"/>
      <c r="D103" s="127"/>
      <c r="E103" s="134"/>
      <c r="F103" s="135"/>
      <c r="G103" s="136"/>
      <c r="H103" s="23"/>
      <c r="I103" s="23"/>
      <c r="J103" s="13"/>
      <c r="K103" s="137"/>
      <c r="L103" s="137"/>
      <c r="M103" s="28"/>
      <c r="N103" s="13"/>
      <c r="O103" s="97"/>
      <c r="P103" s="138"/>
      <c r="Q103" s="138"/>
      <c r="R103" s="96"/>
      <c r="S103" s="13"/>
      <c r="T103" s="127"/>
      <c r="U103" s="127"/>
      <c r="V103" s="128">
        <f t="shared" si="2"/>
        <v>0</v>
      </c>
      <c r="W103" s="101"/>
    </row>
    <row r="104" spans="2:23" ht="14.4" x14ac:dyDescent="0.25">
      <c r="B104" s="132"/>
      <c r="C104" s="133"/>
      <c r="D104" s="127"/>
      <c r="E104" s="134"/>
      <c r="F104" s="135"/>
      <c r="G104" s="136"/>
      <c r="H104" s="23"/>
      <c r="I104" s="23"/>
      <c r="J104" s="13"/>
      <c r="K104" s="137"/>
      <c r="L104" s="137"/>
      <c r="M104" s="28"/>
      <c r="N104" s="13"/>
      <c r="O104" s="97"/>
      <c r="P104" s="138"/>
      <c r="Q104" s="138"/>
      <c r="R104" s="96"/>
      <c r="S104" s="13"/>
      <c r="T104" s="127"/>
      <c r="U104" s="127"/>
      <c r="V104" s="128">
        <f t="shared" si="2"/>
        <v>0</v>
      </c>
      <c r="W104" s="101"/>
    </row>
    <row r="105" spans="2:23" ht="14.4" x14ac:dyDescent="0.25">
      <c r="B105" s="132"/>
      <c r="C105" s="133"/>
      <c r="D105" s="127"/>
      <c r="E105" s="134"/>
      <c r="F105" s="135"/>
      <c r="G105" s="136"/>
      <c r="H105" s="23"/>
      <c r="I105" s="23"/>
      <c r="J105" s="13"/>
      <c r="K105" s="137"/>
      <c r="L105" s="137"/>
      <c r="M105" s="28"/>
      <c r="N105" s="13"/>
      <c r="O105" s="97"/>
      <c r="P105" s="138"/>
      <c r="Q105" s="138"/>
      <c r="R105" s="96"/>
      <c r="S105" s="13"/>
      <c r="T105" s="127"/>
      <c r="U105" s="127"/>
      <c r="V105" s="128">
        <f t="shared" si="2"/>
        <v>0</v>
      </c>
      <c r="W105" s="101"/>
    </row>
    <row r="106" spans="2:23" ht="14.4" x14ac:dyDescent="0.25">
      <c r="B106" s="132"/>
      <c r="C106" s="133"/>
      <c r="D106" s="127"/>
      <c r="E106" s="134"/>
      <c r="F106" s="135"/>
      <c r="G106" s="136"/>
      <c r="H106" s="23"/>
      <c r="I106" s="23"/>
      <c r="J106" s="13"/>
      <c r="K106" s="137"/>
      <c r="L106" s="137"/>
      <c r="M106" s="28"/>
      <c r="N106" s="13"/>
      <c r="O106" s="97"/>
      <c r="P106" s="138"/>
      <c r="Q106" s="138"/>
      <c r="R106" s="96"/>
      <c r="S106" s="13"/>
      <c r="T106" s="127"/>
      <c r="U106" s="127"/>
      <c r="V106" s="128">
        <f t="shared" si="2"/>
        <v>0</v>
      </c>
      <c r="W106" s="101"/>
    </row>
    <row r="107" spans="2:23" ht="14.4" x14ac:dyDescent="0.25">
      <c r="B107" s="132"/>
      <c r="C107" s="133"/>
      <c r="D107" s="127"/>
      <c r="E107" s="134"/>
      <c r="F107" s="135"/>
      <c r="G107" s="136"/>
      <c r="H107" s="23"/>
      <c r="I107" s="23"/>
      <c r="J107" s="13"/>
      <c r="K107" s="137"/>
      <c r="L107" s="137"/>
      <c r="M107" s="13"/>
      <c r="N107" s="13"/>
      <c r="O107" s="97"/>
      <c r="P107" s="181"/>
      <c r="Q107" s="181"/>
      <c r="R107" s="96"/>
      <c r="S107" s="13"/>
      <c r="T107" s="127"/>
      <c r="U107" s="127"/>
      <c r="V107" s="128">
        <f t="shared" si="2"/>
        <v>0</v>
      </c>
      <c r="W107" s="101"/>
    </row>
    <row r="108" spans="2:23" ht="14.4" x14ac:dyDescent="0.25">
      <c r="B108" s="132"/>
      <c r="C108" s="133"/>
      <c r="D108" s="127"/>
      <c r="E108" s="134"/>
      <c r="F108" s="135"/>
      <c r="G108" s="136"/>
      <c r="H108" s="23"/>
      <c r="I108" s="23"/>
      <c r="J108" s="13"/>
      <c r="K108" s="137"/>
      <c r="L108" s="137"/>
      <c r="M108" s="13"/>
      <c r="N108" s="13"/>
      <c r="O108" s="97"/>
      <c r="P108" s="138"/>
      <c r="Q108" s="138"/>
      <c r="R108" s="96"/>
      <c r="S108" s="13"/>
      <c r="T108" s="127"/>
      <c r="U108" s="127"/>
      <c r="V108" s="128">
        <f t="shared" si="2"/>
        <v>0</v>
      </c>
      <c r="W108" s="101"/>
    </row>
    <row r="109" spans="2:23" ht="14.4" x14ac:dyDescent="0.25">
      <c r="B109" s="132"/>
      <c r="C109" s="133"/>
      <c r="D109" s="127"/>
      <c r="E109" s="134"/>
      <c r="F109" s="135"/>
      <c r="G109" s="136"/>
      <c r="H109" s="23"/>
      <c r="I109" s="23"/>
      <c r="J109" s="13"/>
      <c r="K109" s="137"/>
      <c r="L109" s="137"/>
      <c r="M109" s="13"/>
      <c r="N109" s="13"/>
      <c r="O109" s="97"/>
      <c r="P109" s="138"/>
      <c r="Q109" s="138"/>
      <c r="R109" s="96"/>
      <c r="S109" s="13"/>
      <c r="T109" s="127"/>
      <c r="U109" s="127"/>
      <c r="V109" s="128">
        <f t="shared" si="2"/>
        <v>0</v>
      </c>
      <c r="W109" s="101"/>
    </row>
    <row r="110" spans="2:23" ht="14.4" x14ac:dyDescent="0.25">
      <c r="B110" s="132"/>
      <c r="C110" s="133"/>
      <c r="D110" s="127"/>
      <c r="E110" s="134"/>
      <c r="F110" s="135"/>
      <c r="G110" s="136"/>
      <c r="H110" s="23"/>
      <c r="I110" s="23"/>
      <c r="J110" s="13"/>
      <c r="K110" s="137"/>
      <c r="L110" s="137"/>
      <c r="M110" s="13"/>
      <c r="N110" s="13"/>
      <c r="O110" s="97"/>
      <c r="P110" s="138"/>
      <c r="Q110" s="138"/>
      <c r="R110" s="96"/>
      <c r="S110" s="13"/>
      <c r="T110" s="127"/>
      <c r="U110" s="127"/>
      <c r="V110" s="128">
        <f t="shared" si="2"/>
        <v>0</v>
      </c>
      <c r="W110" s="101"/>
    </row>
    <row r="111" spans="2:23" ht="14.4" x14ac:dyDescent="0.25">
      <c r="B111" s="132"/>
      <c r="C111" s="133"/>
      <c r="D111" s="127"/>
      <c r="E111" s="134"/>
      <c r="F111" s="135"/>
      <c r="G111" s="136"/>
      <c r="H111" s="23"/>
      <c r="I111" s="23"/>
      <c r="J111" s="13"/>
      <c r="K111" s="137"/>
      <c r="L111" s="137"/>
      <c r="M111" s="13"/>
      <c r="N111" s="13"/>
      <c r="O111" s="97"/>
      <c r="P111" s="138"/>
      <c r="Q111" s="138"/>
      <c r="R111" s="96"/>
      <c r="S111" s="13"/>
      <c r="T111" s="127"/>
      <c r="U111" s="127"/>
      <c r="V111" s="128">
        <f t="shared" si="2"/>
        <v>0</v>
      </c>
      <c r="W111" s="101"/>
    </row>
    <row r="112" spans="2:23" ht="14.4" x14ac:dyDescent="0.25">
      <c r="B112" s="132"/>
      <c r="C112" s="133"/>
      <c r="D112" s="127"/>
      <c r="E112" s="134"/>
      <c r="F112" s="135"/>
      <c r="G112" s="136"/>
      <c r="H112" s="23"/>
      <c r="I112" s="23"/>
      <c r="J112" s="13"/>
      <c r="K112" s="137"/>
      <c r="L112" s="137"/>
      <c r="M112" s="13"/>
      <c r="N112" s="13"/>
      <c r="O112" s="97"/>
      <c r="P112" s="138"/>
      <c r="Q112" s="138"/>
      <c r="R112" s="96"/>
      <c r="S112" s="13"/>
      <c r="T112" s="127"/>
      <c r="U112" s="127"/>
      <c r="V112" s="128">
        <f t="shared" si="2"/>
        <v>0</v>
      </c>
      <c r="W112" s="101"/>
    </row>
    <row r="113" spans="2:23" ht="14.4" x14ac:dyDescent="0.25">
      <c r="B113" s="132"/>
      <c r="C113" s="133"/>
      <c r="D113" s="127"/>
      <c r="E113" s="134"/>
      <c r="F113" s="135"/>
      <c r="G113" s="136"/>
      <c r="H113" s="23"/>
      <c r="I113" s="23"/>
      <c r="J113" s="13"/>
      <c r="K113" s="137"/>
      <c r="L113" s="137"/>
      <c r="M113" s="13"/>
      <c r="N113" s="13"/>
      <c r="O113" s="97"/>
      <c r="P113" s="138"/>
      <c r="Q113" s="138"/>
      <c r="R113" s="96"/>
      <c r="S113" s="13"/>
      <c r="T113" s="127"/>
      <c r="U113" s="127"/>
      <c r="V113" s="128">
        <f t="shared" si="2"/>
        <v>0</v>
      </c>
      <c r="W113" s="101"/>
    </row>
    <row r="114" spans="2:23" ht="14.4" x14ac:dyDescent="0.25">
      <c r="B114" s="132"/>
      <c r="C114" s="133"/>
      <c r="D114" s="127"/>
      <c r="E114" s="134"/>
      <c r="F114" s="135"/>
      <c r="G114" s="136"/>
      <c r="H114" s="23"/>
      <c r="I114" s="23"/>
      <c r="J114" s="13"/>
      <c r="K114" s="137"/>
      <c r="L114" s="137"/>
      <c r="M114" s="13"/>
      <c r="N114" s="13"/>
      <c r="O114" s="97"/>
      <c r="P114" s="138"/>
      <c r="Q114" s="138"/>
      <c r="R114" s="96"/>
      <c r="S114" s="13"/>
      <c r="T114" s="127"/>
      <c r="U114" s="127"/>
      <c r="V114" s="128">
        <f t="shared" si="2"/>
        <v>0</v>
      </c>
      <c r="W114" s="101"/>
    </row>
    <row r="115" spans="2:23" ht="14.4" x14ac:dyDescent="0.25">
      <c r="B115" s="132"/>
      <c r="C115" s="133"/>
      <c r="D115" s="127"/>
      <c r="E115" s="134"/>
      <c r="F115" s="135"/>
      <c r="G115" s="136"/>
      <c r="H115" s="23"/>
      <c r="I115" s="23"/>
      <c r="J115" s="13"/>
      <c r="K115" s="137"/>
      <c r="L115" s="137"/>
      <c r="M115" s="13"/>
      <c r="N115" s="13"/>
      <c r="O115" s="97"/>
      <c r="P115" s="138"/>
      <c r="Q115" s="138"/>
      <c r="R115" s="96"/>
      <c r="S115" s="13"/>
      <c r="T115" s="127"/>
      <c r="U115" s="127"/>
      <c r="V115" s="128">
        <f t="shared" si="2"/>
        <v>0</v>
      </c>
      <c r="W115" s="101"/>
    </row>
    <row r="116" spans="2:23" ht="14.4" x14ac:dyDescent="0.25">
      <c r="B116" s="132"/>
      <c r="C116" s="133"/>
      <c r="D116" s="127"/>
      <c r="E116" s="134"/>
      <c r="F116" s="135"/>
      <c r="G116" s="136"/>
      <c r="H116" s="23"/>
      <c r="I116" s="23"/>
      <c r="J116" s="13"/>
      <c r="K116" s="137"/>
      <c r="L116" s="137"/>
      <c r="M116" s="13"/>
      <c r="N116" s="13"/>
      <c r="O116" s="97"/>
      <c r="P116" s="138"/>
      <c r="Q116" s="138"/>
      <c r="R116" s="96"/>
      <c r="S116" s="13"/>
      <c r="T116" s="127"/>
      <c r="U116" s="127"/>
      <c r="V116" s="128">
        <f t="shared" si="2"/>
        <v>0</v>
      </c>
      <c r="W116" s="101"/>
    </row>
    <row r="117" spans="2:23" ht="14.4" x14ac:dyDescent="0.25">
      <c r="B117" s="132"/>
      <c r="C117" s="133"/>
      <c r="D117" s="127"/>
      <c r="E117" s="134"/>
      <c r="F117" s="135"/>
      <c r="G117" s="136"/>
      <c r="H117" s="23"/>
      <c r="I117" s="23"/>
      <c r="J117" s="13"/>
      <c r="K117" s="137"/>
      <c r="L117" s="137"/>
      <c r="M117" s="13"/>
      <c r="N117" s="13"/>
      <c r="O117" s="97"/>
      <c r="P117" s="138"/>
      <c r="Q117" s="138"/>
      <c r="R117" s="96"/>
      <c r="S117" s="13"/>
      <c r="T117" s="127"/>
      <c r="U117" s="127"/>
      <c r="V117" s="128">
        <f t="shared" si="2"/>
        <v>0</v>
      </c>
      <c r="W117" s="101"/>
    </row>
    <row r="118" spans="2:23" ht="14.4" x14ac:dyDescent="0.25">
      <c r="B118" s="132"/>
      <c r="C118" s="133"/>
      <c r="D118" s="127"/>
      <c r="E118" s="134"/>
      <c r="F118" s="135"/>
      <c r="G118" s="136"/>
      <c r="H118" s="23"/>
      <c r="I118" s="23"/>
      <c r="J118" s="13"/>
      <c r="K118" s="137"/>
      <c r="L118" s="137"/>
      <c r="M118" s="13"/>
      <c r="N118" s="13"/>
      <c r="O118" s="97"/>
      <c r="P118" s="138"/>
      <c r="Q118" s="138"/>
      <c r="R118" s="96"/>
      <c r="S118" s="13"/>
      <c r="T118" s="127"/>
      <c r="U118" s="127"/>
      <c r="V118" s="128">
        <f t="shared" si="2"/>
        <v>0</v>
      </c>
      <c r="W118" s="101"/>
    </row>
    <row r="119" spans="2:23" ht="14.4" x14ac:dyDescent="0.25">
      <c r="B119" s="132"/>
      <c r="C119" s="133"/>
      <c r="D119" s="127"/>
      <c r="E119" s="134"/>
      <c r="F119" s="135"/>
      <c r="G119" s="136"/>
      <c r="H119" s="23"/>
      <c r="I119" s="23"/>
      <c r="J119" s="13"/>
      <c r="K119" s="137"/>
      <c r="L119" s="137"/>
      <c r="M119" s="13"/>
      <c r="N119" s="13"/>
      <c r="O119" s="97"/>
      <c r="P119" s="138"/>
      <c r="Q119" s="138"/>
      <c r="R119" s="96"/>
      <c r="S119" s="13"/>
      <c r="T119" s="127"/>
      <c r="U119" s="127"/>
      <c r="V119" s="128">
        <f t="shared" si="2"/>
        <v>0</v>
      </c>
      <c r="W119" s="101"/>
    </row>
    <row r="120" spans="2:23" ht="14.4" x14ac:dyDescent="0.25">
      <c r="B120" s="132"/>
      <c r="C120" s="133"/>
      <c r="D120" s="127"/>
      <c r="E120" s="134"/>
      <c r="F120" s="135"/>
      <c r="G120" s="136"/>
      <c r="H120" s="23"/>
      <c r="I120" s="23"/>
      <c r="J120" s="13"/>
      <c r="K120" s="137"/>
      <c r="L120" s="137"/>
      <c r="M120" s="13"/>
      <c r="N120" s="13"/>
      <c r="O120" s="97"/>
      <c r="P120" s="138"/>
      <c r="Q120" s="138"/>
      <c r="R120" s="96"/>
      <c r="S120" s="13"/>
      <c r="T120" s="127"/>
      <c r="U120" s="127"/>
      <c r="V120" s="128">
        <f t="shared" si="2"/>
        <v>0</v>
      </c>
      <c r="W120" s="101"/>
    </row>
    <row r="121" spans="2:23" ht="14.4" x14ac:dyDescent="0.25">
      <c r="B121" s="132"/>
      <c r="C121" s="133"/>
      <c r="D121" s="127"/>
      <c r="E121" s="134"/>
      <c r="F121" s="135"/>
      <c r="G121" s="136"/>
      <c r="H121" s="23"/>
      <c r="I121" s="23"/>
      <c r="J121" s="13"/>
      <c r="K121" s="137"/>
      <c r="L121" s="137"/>
      <c r="M121" s="13"/>
      <c r="N121" s="13"/>
      <c r="O121" s="97"/>
      <c r="P121" s="138"/>
      <c r="Q121" s="138"/>
      <c r="R121" s="96"/>
      <c r="S121" s="13"/>
      <c r="T121" s="127"/>
      <c r="U121" s="127"/>
      <c r="V121" s="128">
        <f t="shared" si="2"/>
        <v>0</v>
      </c>
      <c r="W121" s="101"/>
    </row>
    <row r="122" spans="2:23" ht="14.4" x14ac:dyDescent="0.25">
      <c r="B122" s="132"/>
      <c r="C122" s="133"/>
      <c r="D122" s="127"/>
      <c r="E122" s="134"/>
      <c r="F122" s="135"/>
      <c r="G122" s="136"/>
      <c r="H122" s="23"/>
      <c r="I122" s="23"/>
      <c r="J122" s="13"/>
      <c r="K122" s="137"/>
      <c r="L122" s="137"/>
      <c r="M122" s="13"/>
      <c r="N122" s="13"/>
      <c r="O122" s="97"/>
      <c r="P122" s="138"/>
      <c r="Q122" s="138"/>
      <c r="R122" s="96"/>
      <c r="S122" s="13"/>
      <c r="T122" s="127"/>
      <c r="U122" s="127"/>
      <c r="V122" s="128">
        <f t="shared" si="2"/>
        <v>0</v>
      </c>
      <c r="W122" s="101"/>
    </row>
    <row r="123" spans="2:23" ht="14.4" x14ac:dyDescent="0.25">
      <c r="B123" s="132"/>
      <c r="C123" s="133"/>
      <c r="D123" s="127"/>
      <c r="E123" s="134"/>
      <c r="F123" s="135"/>
      <c r="G123" s="136"/>
      <c r="H123" s="23"/>
      <c r="I123" s="23"/>
      <c r="J123" s="13"/>
      <c r="K123" s="137"/>
      <c r="L123" s="137"/>
      <c r="M123" s="13"/>
      <c r="N123" s="13"/>
      <c r="O123" s="97"/>
      <c r="P123" s="138"/>
      <c r="Q123" s="138"/>
      <c r="R123" s="96"/>
      <c r="S123" s="13"/>
      <c r="T123" s="127"/>
      <c r="U123" s="127"/>
      <c r="V123" s="128">
        <f t="shared" si="2"/>
        <v>0</v>
      </c>
      <c r="W123" s="101"/>
    </row>
    <row r="124" spans="2:23" ht="14.4" x14ac:dyDescent="0.25">
      <c r="B124" s="132"/>
      <c r="C124" s="133"/>
      <c r="D124" s="127"/>
      <c r="E124" s="134"/>
      <c r="F124" s="135"/>
      <c r="G124" s="136"/>
      <c r="H124" s="23"/>
      <c r="I124" s="23"/>
      <c r="J124" s="13"/>
      <c r="K124" s="137"/>
      <c r="L124" s="137"/>
      <c r="M124" s="13"/>
      <c r="N124" s="13"/>
      <c r="O124" s="97"/>
      <c r="P124" s="138"/>
      <c r="Q124" s="138"/>
      <c r="R124" s="96"/>
      <c r="S124" s="13"/>
      <c r="T124" s="127"/>
      <c r="U124" s="127"/>
      <c r="V124" s="128">
        <f t="shared" si="2"/>
        <v>0</v>
      </c>
      <c r="W124" s="101"/>
    </row>
    <row r="125" spans="2:23" ht="14.4" x14ac:dyDescent="0.25">
      <c r="B125" s="132"/>
      <c r="C125" s="133"/>
      <c r="D125" s="127"/>
      <c r="E125" s="134"/>
      <c r="F125" s="135"/>
      <c r="G125" s="136"/>
      <c r="H125" s="23"/>
      <c r="I125" s="23"/>
      <c r="J125" s="13"/>
      <c r="K125" s="137"/>
      <c r="L125" s="137"/>
      <c r="M125" s="13"/>
      <c r="N125" s="13"/>
      <c r="O125" s="97"/>
      <c r="P125" s="138"/>
      <c r="Q125" s="138"/>
      <c r="R125" s="96"/>
      <c r="S125" s="13"/>
      <c r="T125" s="127"/>
      <c r="U125" s="127"/>
      <c r="V125" s="128">
        <f t="shared" si="2"/>
        <v>0</v>
      </c>
      <c r="W125" s="101"/>
    </row>
    <row r="126" spans="2:23" ht="14.4" x14ac:dyDescent="0.25">
      <c r="B126" s="132"/>
      <c r="C126" s="133"/>
      <c r="D126" s="127"/>
      <c r="E126" s="134"/>
      <c r="F126" s="135"/>
      <c r="G126" s="136"/>
      <c r="H126" s="23"/>
      <c r="I126" s="23"/>
      <c r="J126" s="49"/>
      <c r="K126" s="137"/>
      <c r="L126" s="137"/>
      <c r="M126" s="13"/>
      <c r="N126" s="13"/>
      <c r="O126" s="97"/>
      <c r="P126" s="138"/>
      <c r="Q126" s="138"/>
      <c r="R126" s="96"/>
      <c r="S126" s="13"/>
      <c r="T126" s="127"/>
      <c r="U126" s="127"/>
      <c r="V126" s="128">
        <f t="shared" si="2"/>
        <v>0</v>
      </c>
      <c r="W126" s="101"/>
    </row>
    <row r="127" spans="2:23" ht="14.4" x14ac:dyDescent="0.25">
      <c r="B127" s="132"/>
      <c r="C127" s="133"/>
      <c r="D127" s="127"/>
      <c r="E127" s="134"/>
      <c r="F127" s="135"/>
      <c r="G127" s="136"/>
      <c r="H127" s="23"/>
      <c r="I127" s="23"/>
      <c r="J127" s="49"/>
      <c r="K127" s="137"/>
      <c r="L127" s="137"/>
      <c r="M127" s="13"/>
      <c r="N127" s="13"/>
      <c r="O127" s="97"/>
      <c r="P127" s="138"/>
      <c r="Q127" s="138"/>
      <c r="R127" s="96"/>
      <c r="S127" s="13"/>
      <c r="T127" s="127"/>
      <c r="U127" s="127"/>
      <c r="V127" s="128">
        <f t="shared" si="2"/>
        <v>0</v>
      </c>
      <c r="W127" s="101"/>
    </row>
    <row r="128" spans="2:23" ht="14.4" x14ac:dyDescent="0.25">
      <c r="B128" s="132"/>
      <c r="C128" s="133"/>
      <c r="D128" s="127"/>
      <c r="E128" s="134"/>
      <c r="F128" s="135"/>
      <c r="G128" s="136"/>
      <c r="H128" s="23"/>
      <c r="I128" s="23"/>
      <c r="J128" s="13"/>
      <c r="K128" s="137"/>
      <c r="L128" s="137"/>
      <c r="M128" s="13"/>
      <c r="N128" s="13"/>
      <c r="O128" s="97"/>
      <c r="P128" s="138"/>
      <c r="Q128" s="138"/>
      <c r="R128" s="96"/>
      <c r="S128" s="28"/>
      <c r="T128" s="127"/>
      <c r="U128" s="127"/>
      <c r="V128" s="128">
        <f t="shared" si="2"/>
        <v>0</v>
      </c>
      <c r="W128" s="101"/>
    </row>
    <row r="129" spans="2:24" ht="14.4" x14ac:dyDescent="0.25">
      <c r="B129" s="132"/>
      <c r="C129" s="133"/>
      <c r="D129" s="127"/>
      <c r="E129" s="134"/>
      <c r="F129" s="135"/>
      <c r="G129" s="136"/>
      <c r="H129" s="23"/>
      <c r="I129" s="23"/>
      <c r="J129" s="50"/>
      <c r="K129" s="137"/>
      <c r="L129" s="137"/>
      <c r="M129" s="13"/>
      <c r="N129" s="13"/>
      <c r="O129" s="97"/>
      <c r="P129" s="138"/>
      <c r="Q129" s="138"/>
      <c r="R129" s="96"/>
      <c r="S129" s="13"/>
      <c r="T129" s="127"/>
      <c r="U129" s="127"/>
      <c r="V129" s="128">
        <f t="shared" si="2"/>
        <v>0</v>
      </c>
      <c r="W129" s="101"/>
    </row>
    <row r="130" spans="2:24" ht="14.4" x14ac:dyDescent="0.25">
      <c r="B130" s="132"/>
      <c r="C130" s="133"/>
      <c r="D130" s="127"/>
      <c r="E130" s="134"/>
      <c r="F130" s="135"/>
      <c r="G130" s="136"/>
      <c r="H130" s="23"/>
      <c r="I130" s="23"/>
      <c r="J130" s="50"/>
      <c r="K130" s="137"/>
      <c r="L130" s="137"/>
      <c r="M130" s="13"/>
      <c r="N130" s="13"/>
      <c r="O130" s="97"/>
      <c r="P130" s="138"/>
      <c r="Q130" s="138"/>
      <c r="R130" s="96"/>
      <c r="S130" s="13"/>
      <c r="T130" s="127"/>
      <c r="U130" s="127"/>
      <c r="V130" s="128">
        <f t="shared" si="2"/>
        <v>0</v>
      </c>
      <c r="W130" s="101"/>
    </row>
    <row r="131" spans="2:24" ht="14.4" x14ac:dyDescent="0.25">
      <c r="B131" s="132"/>
      <c r="C131" s="133"/>
      <c r="D131" s="127"/>
      <c r="E131" s="134"/>
      <c r="F131" s="135"/>
      <c r="G131" s="136"/>
      <c r="H131" s="23"/>
      <c r="I131" s="23"/>
      <c r="J131" s="50"/>
      <c r="K131" s="137"/>
      <c r="L131" s="137"/>
      <c r="M131" s="13"/>
      <c r="N131" s="13"/>
      <c r="O131" s="97"/>
      <c r="P131" s="138"/>
      <c r="Q131" s="138"/>
      <c r="R131" s="96"/>
      <c r="S131" s="13"/>
      <c r="T131" s="127"/>
      <c r="U131" s="127"/>
      <c r="V131" s="128">
        <f t="shared" si="2"/>
        <v>0</v>
      </c>
      <c r="W131" s="101"/>
    </row>
    <row r="132" spans="2:24" ht="14.4" x14ac:dyDescent="0.25">
      <c r="B132" s="132"/>
      <c r="C132" s="133"/>
      <c r="D132" s="127"/>
      <c r="E132" s="134"/>
      <c r="F132" s="135"/>
      <c r="G132" s="136"/>
      <c r="H132" s="23"/>
      <c r="I132" s="23"/>
      <c r="J132" s="50"/>
      <c r="K132" s="137"/>
      <c r="L132" s="137"/>
      <c r="M132" s="13"/>
      <c r="N132" s="13"/>
      <c r="O132" s="97"/>
      <c r="P132" s="138"/>
      <c r="Q132" s="138"/>
      <c r="R132" s="96"/>
      <c r="S132" s="13"/>
      <c r="T132" s="127"/>
      <c r="U132" s="127"/>
      <c r="V132" s="128">
        <f t="shared" si="2"/>
        <v>0</v>
      </c>
      <c r="W132" s="101"/>
    </row>
    <row r="133" spans="2:24" ht="14.4" x14ac:dyDescent="0.25">
      <c r="B133" s="132"/>
      <c r="C133" s="133"/>
      <c r="D133" s="127"/>
      <c r="E133" s="134"/>
      <c r="F133" s="135"/>
      <c r="G133" s="136"/>
      <c r="H133" s="23"/>
      <c r="I133" s="23"/>
      <c r="J133" s="13"/>
      <c r="K133" s="137"/>
      <c r="L133" s="137"/>
      <c r="M133" s="13"/>
      <c r="N133" s="13"/>
      <c r="O133" s="97"/>
      <c r="P133" s="138"/>
      <c r="Q133" s="138"/>
      <c r="R133" s="96"/>
      <c r="S133" s="13"/>
      <c r="T133" s="127"/>
      <c r="U133" s="127"/>
      <c r="V133" s="128">
        <f t="shared" si="2"/>
        <v>0</v>
      </c>
      <c r="W133" s="101"/>
    </row>
    <row r="134" spans="2:24" ht="14.4" x14ac:dyDescent="0.25">
      <c r="B134" s="132"/>
      <c r="C134" s="133"/>
      <c r="D134" s="127"/>
      <c r="E134" s="134"/>
      <c r="F134" s="135"/>
      <c r="G134" s="136"/>
      <c r="H134" s="23"/>
      <c r="I134" s="23"/>
      <c r="J134" s="13"/>
      <c r="K134" s="137"/>
      <c r="L134" s="137"/>
      <c r="M134" s="13"/>
      <c r="N134" s="13"/>
      <c r="O134" s="97"/>
      <c r="P134" s="138"/>
      <c r="Q134" s="138"/>
      <c r="R134" s="96"/>
      <c r="S134" s="13"/>
      <c r="T134" s="127"/>
      <c r="U134" s="127"/>
      <c r="V134" s="128">
        <f t="shared" si="2"/>
        <v>0</v>
      </c>
      <c r="W134" s="101"/>
    </row>
    <row r="135" spans="2:24" ht="14.4" x14ac:dyDescent="0.25">
      <c r="B135" s="132"/>
      <c r="C135" s="133"/>
      <c r="D135" s="127"/>
      <c r="E135" s="134"/>
      <c r="F135" s="135"/>
      <c r="G135" s="136"/>
      <c r="H135" s="23"/>
      <c r="I135" s="23"/>
      <c r="J135" s="13"/>
      <c r="K135" s="137"/>
      <c r="L135" s="137"/>
      <c r="M135" s="13"/>
      <c r="N135" s="13"/>
      <c r="O135" s="97"/>
      <c r="P135" s="138"/>
      <c r="Q135" s="138"/>
      <c r="R135" s="96"/>
      <c r="S135" s="13"/>
      <c r="T135" s="127"/>
      <c r="U135" s="127"/>
      <c r="V135" s="128">
        <f t="shared" si="2"/>
        <v>0</v>
      </c>
      <c r="W135" s="101"/>
    </row>
    <row r="136" spans="2:24" ht="14.4" x14ac:dyDescent="0.25">
      <c r="B136" s="132"/>
      <c r="C136" s="133"/>
      <c r="D136" s="127"/>
      <c r="E136" s="134"/>
      <c r="F136" s="135"/>
      <c r="G136" s="136"/>
      <c r="H136" s="23"/>
      <c r="I136" s="23"/>
      <c r="J136" s="13"/>
      <c r="K136" s="137"/>
      <c r="L136" s="137"/>
      <c r="M136" s="13"/>
      <c r="N136" s="13"/>
      <c r="O136" s="97"/>
      <c r="P136" s="138"/>
      <c r="Q136" s="138"/>
      <c r="R136" s="96"/>
      <c r="S136" s="13"/>
      <c r="T136" s="127"/>
      <c r="U136" s="127"/>
      <c r="V136" s="128">
        <f t="shared" si="2"/>
        <v>0</v>
      </c>
      <c r="W136" s="101"/>
    </row>
    <row r="137" spans="2:24" ht="14.4" x14ac:dyDescent="0.25">
      <c r="B137" s="132"/>
      <c r="C137" s="133"/>
      <c r="D137" s="127"/>
      <c r="E137" s="134"/>
      <c r="F137" s="135"/>
      <c r="G137" s="136"/>
      <c r="H137" s="23"/>
      <c r="I137" s="23"/>
      <c r="J137" s="13"/>
      <c r="K137" s="137"/>
      <c r="L137" s="137"/>
      <c r="M137" s="13"/>
      <c r="N137" s="13"/>
      <c r="O137" s="97"/>
      <c r="P137" s="138"/>
      <c r="Q137" s="138"/>
      <c r="R137" s="96"/>
      <c r="S137" s="13"/>
      <c r="T137" s="127"/>
      <c r="U137" s="127"/>
      <c r="V137" s="128">
        <f t="shared" si="2"/>
        <v>0</v>
      </c>
      <c r="W137" s="101"/>
    </row>
    <row r="138" spans="2:24" ht="14.4" x14ac:dyDescent="0.25">
      <c r="B138" s="132"/>
      <c r="C138" s="133"/>
      <c r="D138" s="127"/>
      <c r="E138" s="134"/>
      <c r="F138" s="135"/>
      <c r="G138" s="136"/>
      <c r="H138" s="23"/>
      <c r="I138" s="23"/>
      <c r="J138" s="13"/>
      <c r="K138" s="137"/>
      <c r="L138" s="137"/>
      <c r="M138" s="13"/>
      <c r="N138" s="13"/>
      <c r="O138" s="97"/>
      <c r="P138" s="138"/>
      <c r="Q138" s="138"/>
      <c r="R138" s="96"/>
      <c r="S138" s="13"/>
      <c r="T138" s="127"/>
      <c r="U138" s="127"/>
      <c r="V138" s="128">
        <f t="shared" si="2"/>
        <v>0</v>
      </c>
      <c r="W138" s="101"/>
    </row>
    <row r="139" spans="2:24" ht="14.4" x14ac:dyDescent="0.25">
      <c r="B139" s="132"/>
      <c r="C139" s="133"/>
      <c r="D139" s="127"/>
      <c r="E139" s="134"/>
      <c r="F139" s="135"/>
      <c r="G139" s="136"/>
      <c r="H139" s="23"/>
      <c r="I139" s="23"/>
      <c r="J139" s="13"/>
      <c r="K139" s="137"/>
      <c r="L139" s="137"/>
      <c r="M139" s="13"/>
      <c r="N139" s="13"/>
      <c r="O139" s="97"/>
      <c r="P139" s="138"/>
      <c r="Q139" s="138"/>
      <c r="R139" s="96"/>
      <c r="S139" s="13"/>
      <c r="T139" s="127"/>
      <c r="U139" s="127"/>
      <c r="V139" s="128">
        <f t="shared" si="2"/>
        <v>0</v>
      </c>
      <c r="W139" s="101"/>
    </row>
    <row r="140" spans="2:24" ht="14.4" x14ac:dyDescent="0.25">
      <c r="B140" s="132"/>
      <c r="C140" s="133"/>
      <c r="D140" s="127"/>
      <c r="E140" s="134"/>
      <c r="F140" s="135"/>
      <c r="G140" s="136"/>
      <c r="H140" s="23"/>
      <c r="I140" s="23"/>
      <c r="J140" s="13"/>
      <c r="K140" s="137"/>
      <c r="L140" s="137"/>
      <c r="M140" s="13"/>
      <c r="N140" s="13"/>
      <c r="O140" s="97"/>
      <c r="P140" s="138"/>
      <c r="Q140" s="138"/>
      <c r="R140" s="96"/>
      <c r="S140" s="13"/>
      <c r="T140" s="127"/>
      <c r="U140" s="127"/>
      <c r="V140" s="128">
        <f t="shared" si="2"/>
        <v>0</v>
      </c>
      <c r="W140" s="101"/>
    </row>
    <row r="141" spans="2:24" ht="14.4" x14ac:dyDescent="0.25">
      <c r="B141" s="132"/>
      <c r="C141" s="133"/>
      <c r="D141" s="127"/>
      <c r="E141" s="134"/>
      <c r="F141" s="135"/>
      <c r="G141" s="136"/>
      <c r="H141" s="23"/>
      <c r="I141" s="23"/>
      <c r="J141" s="13"/>
      <c r="K141" s="137"/>
      <c r="L141" s="137"/>
      <c r="M141" s="13"/>
      <c r="N141" s="13"/>
      <c r="O141" s="97"/>
      <c r="P141" s="138"/>
      <c r="Q141" s="138"/>
      <c r="R141" s="96"/>
      <c r="S141" s="13"/>
      <c r="T141" s="127"/>
      <c r="U141" s="127"/>
      <c r="V141" s="128">
        <f t="shared" si="2"/>
        <v>0</v>
      </c>
      <c r="W141" s="101"/>
    </row>
    <row r="142" spans="2:24" ht="14.4" x14ac:dyDescent="0.25">
      <c r="B142" s="132"/>
      <c r="C142" s="133"/>
      <c r="D142" s="127"/>
      <c r="E142" s="134"/>
      <c r="F142" s="135"/>
      <c r="G142" s="136"/>
      <c r="H142" s="23"/>
      <c r="I142" s="23"/>
      <c r="J142" s="13"/>
      <c r="K142" s="137"/>
      <c r="L142" s="137"/>
      <c r="M142" s="13"/>
      <c r="N142" s="13"/>
      <c r="O142" s="97"/>
      <c r="P142" s="138"/>
      <c r="Q142" s="138"/>
      <c r="R142" s="96"/>
      <c r="S142" s="13"/>
      <c r="T142" s="127"/>
      <c r="U142" s="127"/>
      <c r="V142" s="128">
        <f t="shared" si="2"/>
        <v>0</v>
      </c>
      <c r="W142" s="109"/>
      <c r="X142" s="123"/>
    </row>
    <row r="143" spans="2:24" ht="14.4" x14ac:dyDescent="0.25">
      <c r="B143" s="132"/>
      <c r="C143" s="133"/>
      <c r="D143" s="127"/>
      <c r="E143" s="134"/>
      <c r="F143" s="135"/>
      <c r="G143" s="136"/>
      <c r="H143" s="23"/>
      <c r="I143" s="23"/>
      <c r="J143" s="13"/>
      <c r="K143" s="137"/>
      <c r="L143" s="137"/>
      <c r="M143" s="13"/>
      <c r="N143" s="13"/>
      <c r="O143" s="97"/>
      <c r="P143" s="138"/>
      <c r="Q143" s="138"/>
      <c r="R143" s="96"/>
      <c r="S143" s="13"/>
      <c r="T143" s="127"/>
      <c r="U143" s="127"/>
      <c r="V143" s="128">
        <f t="shared" si="2"/>
        <v>0</v>
      </c>
      <c r="W143" s="109"/>
      <c r="X143" s="123"/>
    </row>
    <row r="144" spans="2:24" ht="14.4" x14ac:dyDescent="0.25">
      <c r="B144" s="132"/>
      <c r="C144" s="133"/>
      <c r="D144" s="127"/>
      <c r="E144" s="134"/>
      <c r="F144" s="135"/>
      <c r="G144" s="136"/>
      <c r="H144" s="23"/>
      <c r="I144" s="23"/>
      <c r="J144" s="13"/>
      <c r="K144" s="137"/>
      <c r="L144" s="137"/>
      <c r="M144" s="13"/>
      <c r="N144" s="13"/>
      <c r="O144" s="97"/>
      <c r="P144" s="138"/>
      <c r="Q144" s="138"/>
      <c r="R144" s="96"/>
      <c r="S144" s="13"/>
      <c r="T144" s="127"/>
      <c r="U144" s="127"/>
      <c r="V144" s="128">
        <f t="shared" si="2"/>
        <v>0</v>
      </c>
      <c r="W144" s="109"/>
      <c r="X144" s="123"/>
    </row>
    <row r="145" spans="2:23" ht="15" thickBot="1" x14ac:dyDescent="0.3">
      <c r="B145" s="165"/>
      <c r="C145" s="166"/>
      <c r="D145" s="130"/>
      <c r="E145" s="182"/>
      <c r="F145" s="183"/>
      <c r="G145" s="184"/>
      <c r="H145" s="57"/>
      <c r="I145" s="57"/>
      <c r="J145" s="56"/>
      <c r="K145" s="185"/>
      <c r="L145" s="185"/>
      <c r="M145" s="56"/>
      <c r="N145" s="56"/>
      <c r="O145" s="105"/>
      <c r="P145" s="186"/>
      <c r="Q145" s="187"/>
      <c r="R145" s="106"/>
      <c r="S145" s="107"/>
      <c r="T145" s="127"/>
      <c r="U145" s="127"/>
      <c r="V145" s="128">
        <f t="shared" si="2"/>
        <v>0</v>
      </c>
      <c r="W145" s="108"/>
    </row>
    <row r="146" spans="2:23" ht="14.4" x14ac:dyDescent="0.3">
      <c r="V146" s="117"/>
    </row>
  </sheetData>
  <mergeCells count="525">
    <mergeCell ref="E145:G145"/>
    <mergeCell ref="K145:L145"/>
    <mergeCell ref="P145:Q145"/>
    <mergeCell ref="E143:G143"/>
    <mergeCell ref="K143:L143"/>
    <mergeCell ref="P143:Q143"/>
    <mergeCell ref="E144:G144"/>
    <mergeCell ref="K144:L144"/>
    <mergeCell ref="P144:Q144"/>
    <mergeCell ref="E141:G141"/>
    <mergeCell ref="K141:L141"/>
    <mergeCell ref="P141:Q141"/>
    <mergeCell ref="E142:G142"/>
    <mergeCell ref="K142:L142"/>
    <mergeCell ref="P142:Q142"/>
    <mergeCell ref="E139:G139"/>
    <mergeCell ref="K139:L139"/>
    <mergeCell ref="P139:Q139"/>
    <mergeCell ref="E140:G140"/>
    <mergeCell ref="K140:L140"/>
    <mergeCell ref="P140:Q140"/>
    <mergeCell ref="E137:G137"/>
    <mergeCell ref="K137:L137"/>
    <mergeCell ref="P137:Q137"/>
    <mergeCell ref="E138:G138"/>
    <mergeCell ref="K138:L138"/>
    <mergeCell ref="P138:Q138"/>
    <mergeCell ref="E135:G135"/>
    <mergeCell ref="K135:L135"/>
    <mergeCell ref="P135:Q135"/>
    <mergeCell ref="E136:G136"/>
    <mergeCell ref="K136:L136"/>
    <mergeCell ref="P136:Q136"/>
    <mergeCell ref="E133:G133"/>
    <mergeCell ref="K133:L133"/>
    <mergeCell ref="P133:Q133"/>
    <mergeCell ref="E134:G134"/>
    <mergeCell ref="K134:L134"/>
    <mergeCell ref="P134:Q134"/>
    <mergeCell ref="E131:G131"/>
    <mergeCell ref="K131:L131"/>
    <mergeCell ref="P131:Q131"/>
    <mergeCell ref="E132:G132"/>
    <mergeCell ref="K132:L132"/>
    <mergeCell ref="P132:Q132"/>
    <mergeCell ref="E129:G129"/>
    <mergeCell ref="K129:L129"/>
    <mergeCell ref="P129:Q129"/>
    <mergeCell ref="E130:G130"/>
    <mergeCell ref="K130:L130"/>
    <mergeCell ref="P130:Q130"/>
    <mergeCell ref="E127:G127"/>
    <mergeCell ref="K127:L127"/>
    <mergeCell ref="P127:Q127"/>
    <mergeCell ref="E128:G128"/>
    <mergeCell ref="K128:L128"/>
    <mergeCell ref="P128:Q128"/>
    <mergeCell ref="E125:G125"/>
    <mergeCell ref="K125:L125"/>
    <mergeCell ref="P125:Q125"/>
    <mergeCell ref="E126:G126"/>
    <mergeCell ref="K126:L126"/>
    <mergeCell ref="P126:Q126"/>
    <mergeCell ref="E123:G123"/>
    <mergeCell ref="K123:L123"/>
    <mergeCell ref="P123:Q123"/>
    <mergeCell ref="E124:G124"/>
    <mergeCell ref="K124:L124"/>
    <mergeCell ref="P124:Q124"/>
    <mergeCell ref="E121:G121"/>
    <mergeCell ref="K121:L121"/>
    <mergeCell ref="P121:Q121"/>
    <mergeCell ref="E122:G122"/>
    <mergeCell ref="K122:L122"/>
    <mergeCell ref="P122:Q122"/>
    <mergeCell ref="E119:G119"/>
    <mergeCell ref="K119:L119"/>
    <mergeCell ref="P119:Q119"/>
    <mergeCell ref="E120:G120"/>
    <mergeCell ref="K120:L120"/>
    <mergeCell ref="P120:Q120"/>
    <mergeCell ref="E117:G117"/>
    <mergeCell ref="K117:L117"/>
    <mergeCell ref="P117:Q117"/>
    <mergeCell ref="E118:G118"/>
    <mergeCell ref="K118:L118"/>
    <mergeCell ref="P118:Q118"/>
    <mergeCell ref="E115:G115"/>
    <mergeCell ref="K115:L115"/>
    <mergeCell ref="P115:Q115"/>
    <mergeCell ref="E116:G116"/>
    <mergeCell ref="K116:L116"/>
    <mergeCell ref="P116:Q116"/>
    <mergeCell ref="E113:G113"/>
    <mergeCell ref="K113:L113"/>
    <mergeCell ref="P113:Q113"/>
    <mergeCell ref="E114:G114"/>
    <mergeCell ref="K114:L114"/>
    <mergeCell ref="P114:Q114"/>
    <mergeCell ref="E111:G111"/>
    <mergeCell ref="K111:L111"/>
    <mergeCell ref="P111:Q111"/>
    <mergeCell ref="E112:G112"/>
    <mergeCell ref="K112:L112"/>
    <mergeCell ref="P112:Q112"/>
    <mergeCell ref="E109:G109"/>
    <mergeCell ref="K109:L109"/>
    <mergeCell ref="P109:Q109"/>
    <mergeCell ref="E110:G110"/>
    <mergeCell ref="K110:L110"/>
    <mergeCell ref="P110:Q110"/>
    <mergeCell ref="E107:G107"/>
    <mergeCell ref="K107:L107"/>
    <mergeCell ref="P107:Q107"/>
    <mergeCell ref="E108:G108"/>
    <mergeCell ref="K108:L108"/>
    <mergeCell ref="P108:Q108"/>
    <mergeCell ref="E105:G105"/>
    <mergeCell ref="K105:L105"/>
    <mergeCell ref="P105:Q105"/>
    <mergeCell ref="E106:G106"/>
    <mergeCell ref="K106:L106"/>
    <mergeCell ref="P106:Q106"/>
    <mergeCell ref="E103:G103"/>
    <mergeCell ref="K103:L103"/>
    <mergeCell ref="P103:Q103"/>
    <mergeCell ref="E104:G104"/>
    <mergeCell ref="K104:L104"/>
    <mergeCell ref="P104:Q104"/>
    <mergeCell ref="E101:G101"/>
    <mergeCell ref="K101:L101"/>
    <mergeCell ref="P101:Q101"/>
    <mergeCell ref="E102:G102"/>
    <mergeCell ref="K102:L102"/>
    <mergeCell ref="P102:Q102"/>
    <mergeCell ref="E99:G99"/>
    <mergeCell ref="K99:L99"/>
    <mergeCell ref="P99:Q99"/>
    <mergeCell ref="E100:G100"/>
    <mergeCell ref="K100:L100"/>
    <mergeCell ref="P100:Q100"/>
    <mergeCell ref="E97:G97"/>
    <mergeCell ref="K97:L97"/>
    <mergeCell ref="P97:Q97"/>
    <mergeCell ref="E98:G98"/>
    <mergeCell ref="K98:L98"/>
    <mergeCell ref="P98:Q98"/>
    <mergeCell ref="E95:G95"/>
    <mergeCell ref="K95:L95"/>
    <mergeCell ref="P95:Q95"/>
    <mergeCell ref="E96:G96"/>
    <mergeCell ref="K96:L96"/>
    <mergeCell ref="P96:Q96"/>
    <mergeCell ref="E93:G93"/>
    <mergeCell ref="K93:L93"/>
    <mergeCell ref="P93:Q93"/>
    <mergeCell ref="E94:G94"/>
    <mergeCell ref="K94:L94"/>
    <mergeCell ref="P94:Q94"/>
    <mergeCell ref="E91:G91"/>
    <mergeCell ref="K91:L91"/>
    <mergeCell ref="P91:Q91"/>
    <mergeCell ref="E92:G92"/>
    <mergeCell ref="K92:L92"/>
    <mergeCell ref="P92:Q92"/>
    <mergeCell ref="E89:G89"/>
    <mergeCell ref="K89:L89"/>
    <mergeCell ref="P89:Q89"/>
    <mergeCell ref="E90:G90"/>
    <mergeCell ref="K90:L90"/>
    <mergeCell ref="P90:Q90"/>
    <mergeCell ref="E87:G87"/>
    <mergeCell ref="K87:L87"/>
    <mergeCell ref="P87:Q87"/>
    <mergeCell ref="E88:G88"/>
    <mergeCell ref="K88:L88"/>
    <mergeCell ref="P88:Q88"/>
    <mergeCell ref="E85:G85"/>
    <mergeCell ref="K85:L85"/>
    <mergeCell ref="P85:Q85"/>
    <mergeCell ref="E86:G86"/>
    <mergeCell ref="K86:L86"/>
    <mergeCell ref="P86:Q86"/>
    <mergeCell ref="E83:G83"/>
    <mergeCell ref="K83:L83"/>
    <mergeCell ref="P83:Q83"/>
    <mergeCell ref="E84:G84"/>
    <mergeCell ref="K84:L84"/>
    <mergeCell ref="P84:Q84"/>
    <mergeCell ref="E81:G81"/>
    <mergeCell ref="K81:L81"/>
    <mergeCell ref="P81:Q81"/>
    <mergeCell ref="E82:G82"/>
    <mergeCell ref="K82:L82"/>
    <mergeCell ref="P82:Q82"/>
    <mergeCell ref="E79:G79"/>
    <mergeCell ref="K79:L79"/>
    <mergeCell ref="P79:Q79"/>
    <mergeCell ref="E80:G80"/>
    <mergeCell ref="K80:L80"/>
    <mergeCell ref="P80:Q80"/>
    <mergeCell ref="E77:G77"/>
    <mergeCell ref="K77:L77"/>
    <mergeCell ref="P77:Q77"/>
    <mergeCell ref="E78:G78"/>
    <mergeCell ref="K78:L78"/>
    <mergeCell ref="P78:Q78"/>
    <mergeCell ref="E75:G75"/>
    <mergeCell ref="K75:L75"/>
    <mergeCell ref="P75:Q75"/>
    <mergeCell ref="E76:G76"/>
    <mergeCell ref="K76:L76"/>
    <mergeCell ref="P76:Q76"/>
    <mergeCell ref="E73:G73"/>
    <mergeCell ref="K73:L73"/>
    <mergeCell ref="P73:Q73"/>
    <mergeCell ref="E74:G74"/>
    <mergeCell ref="K74:L74"/>
    <mergeCell ref="P74:Q74"/>
    <mergeCell ref="E71:G71"/>
    <mergeCell ref="K71:L71"/>
    <mergeCell ref="P71:Q71"/>
    <mergeCell ref="E72:G72"/>
    <mergeCell ref="K72:L72"/>
    <mergeCell ref="P72:Q72"/>
    <mergeCell ref="E69:G69"/>
    <mergeCell ref="K69:L69"/>
    <mergeCell ref="P69:Q69"/>
    <mergeCell ref="E70:G70"/>
    <mergeCell ref="K70:L70"/>
    <mergeCell ref="P70:Q70"/>
    <mergeCell ref="E67:G67"/>
    <mergeCell ref="K67:L67"/>
    <mergeCell ref="P67:Q67"/>
    <mergeCell ref="E68:G68"/>
    <mergeCell ref="K68:L68"/>
    <mergeCell ref="P68:Q68"/>
    <mergeCell ref="E64:G64"/>
    <mergeCell ref="K65:L65"/>
    <mergeCell ref="P65:Q65"/>
    <mergeCell ref="E66:G66"/>
    <mergeCell ref="K66:L66"/>
    <mergeCell ref="P66:Q66"/>
    <mergeCell ref="E63:G63"/>
    <mergeCell ref="K63:L63"/>
    <mergeCell ref="P63:Q63"/>
    <mergeCell ref="K64:L64"/>
    <mergeCell ref="P64:Q64"/>
    <mergeCell ref="E61:G61"/>
    <mergeCell ref="K61:L61"/>
    <mergeCell ref="P61:Q61"/>
    <mergeCell ref="E62:G62"/>
    <mergeCell ref="K62:L62"/>
    <mergeCell ref="P62:Q62"/>
    <mergeCell ref="E59:G59"/>
    <mergeCell ref="K59:L59"/>
    <mergeCell ref="P59:Q59"/>
    <mergeCell ref="E60:G60"/>
    <mergeCell ref="K60:L60"/>
    <mergeCell ref="P60:Q60"/>
    <mergeCell ref="E57:G57"/>
    <mergeCell ref="K57:L57"/>
    <mergeCell ref="P57:Q57"/>
    <mergeCell ref="E58:G58"/>
    <mergeCell ref="K58:L58"/>
    <mergeCell ref="P58:Q58"/>
    <mergeCell ref="E55:G55"/>
    <mergeCell ref="K55:L55"/>
    <mergeCell ref="P55:Q55"/>
    <mergeCell ref="E56:G56"/>
    <mergeCell ref="K56:L56"/>
    <mergeCell ref="P56:Q56"/>
    <mergeCell ref="E53:G53"/>
    <mergeCell ref="K53:L53"/>
    <mergeCell ref="P53:Q53"/>
    <mergeCell ref="E54:G54"/>
    <mergeCell ref="K54:L54"/>
    <mergeCell ref="P54:Q54"/>
    <mergeCell ref="E51:G51"/>
    <mergeCell ref="K51:L51"/>
    <mergeCell ref="P51:Q51"/>
    <mergeCell ref="E52:G52"/>
    <mergeCell ref="K52:L52"/>
    <mergeCell ref="P52:Q52"/>
    <mergeCell ref="E49:G49"/>
    <mergeCell ref="K49:L49"/>
    <mergeCell ref="P49:Q49"/>
    <mergeCell ref="E50:G50"/>
    <mergeCell ref="K50:L50"/>
    <mergeCell ref="P50:Q50"/>
    <mergeCell ref="E47:G47"/>
    <mergeCell ref="K47:L47"/>
    <mergeCell ref="P47:Q47"/>
    <mergeCell ref="E48:G48"/>
    <mergeCell ref="K48:L48"/>
    <mergeCell ref="P48:Q48"/>
    <mergeCell ref="E45:G45"/>
    <mergeCell ref="K45:L45"/>
    <mergeCell ref="P45:Q45"/>
    <mergeCell ref="E46:G46"/>
    <mergeCell ref="K46:L46"/>
    <mergeCell ref="P46:Q46"/>
    <mergeCell ref="E43:G43"/>
    <mergeCell ref="K43:L43"/>
    <mergeCell ref="P43:Q43"/>
    <mergeCell ref="E44:G44"/>
    <mergeCell ref="K44:L44"/>
    <mergeCell ref="P44:Q44"/>
    <mergeCell ref="E41:G41"/>
    <mergeCell ref="K41:L41"/>
    <mergeCell ref="P41:Q41"/>
    <mergeCell ref="E42:G42"/>
    <mergeCell ref="K42:L42"/>
    <mergeCell ref="P42:Q42"/>
    <mergeCell ref="E39:G39"/>
    <mergeCell ref="K39:L39"/>
    <mergeCell ref="P39:Q39"/>
    <mergeCell ref="E40:G40"/>
    <mergeCell ref="K40:L40"/>
    <mergeCell ref="P40:Q40"/>
    <mergeCell ref="E37:G37"/>
    <mergeCell ref="K37:L37"/>
    <mergeCell ref="P37:Q37"/>
    <mergeCell ref="E38:G38"/>
    <mergeCell ref="K38:L38"/>
    <mergeCell ref="P38:Q38"/>
    <mergeCell ref="E35:G35"/>
    <mergeCell ref="K35:L35"/>
    <mergeCell ref="P35:Q35"/>
    <mergeCell ref="E36:G36"/>
    <mergeCell ref="K36:L36"/>
    <mergeCell ref="P36:Q36"/>
    <mergeCell ref="E33:G33"/>
    <mergeCell ref="K33:L33"/>
    <mergeCell ref="P33:Q33"/>
    <mergeCell ref="E34:G34"/>
    <mergeCell ref="K34:L34"/>
    <mergeCell ref="P34:Q34"/>
    <mergeCell ref="E31:G31"/>
    <mergeCell ref="K31:L31"/>
    <mergeCell ref="P31:Q31"/>
    <mergeCell ref="E32:G32"/>
    <mergeCell ref="K32:L32"/>
    <mergeCell ref="P32:Q32"/>
    <mergeCell ref="E22:G22"/>
    <mergeCell ref="K22:L22"/>
    <mergeCell ref="P22:Q22"/>
    <mergeCell ref="E23:G23"/>
    <mergeCell ref="K23:L23"/>
    <mergeCell ref="P23:Q23"/>
    <mergeCell ref="E30:G30"/>
    <mergeCell ref="K30:L30"/>
    <mergeCell ref="P30:Q30"/>
    <mergeCell ref="E27:G27"/>
    <mergeCell ref="K27:L27"/>
    <mergeCell ref="P27:Q27"/>
    <mergeCell ref="E28:G28"/>
    <mergeCell ref="K28:L28"/>
    <mergeCell ref="P28:Q28"/>
    <mergeCell ref="E29:G29"/>
    <mergeCell ref="K29:L29"/>
    <mergeCell ref="P29:Q29"/>
    <mergeCell ref="E24:G24"/>
    <mergeCell ref="K24:L24"/>
    <mergeCell ref="P24:Q24"/>
    <mergeCell ref="E26:G26"/>
    <mergeCell ref="K26:L26"/>
    <mergeCell ref="P26:Q26"/>
    <mergeCell ref="G12:N12"/>
    <mergeCell ref="G14:N14"/>
    <mergeCell ref="C16:F16"/>
    <mergeCell ref="G16:N16"/>
    <mergeCell ref="Q12:V12"/>
    <mergeCell ref="E21:G21"/>
    <mergeCell ref="K21:L21"/>
    <mergeCell ref="P21:Q21"/>
    <mergeCell ref="E19:G19"/>
    <mergeCell ref="K19:L19"/>
    <mergeCell ref="P19:Q19"/>
    <mergeCell ref="E20:G20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18:C118"/>
    <mergeCell ref="B119:C119"/>
    <mergeCell ref="B120:C120"/>
    <mergeCell ref="B121:C121"/>
    <mergeCell ref="B122:C122"/>
    <mergeCell ref="B123:C123"/>
    <mergeCell ref="B124:C124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43:C143"/>
    <mergeCell ref="B144:C144"/>
    <mergeCell ref="B145:C145"/>
    <mergeCell ref="V19:W19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16:C116"/>
    <mergeCell ref="B117:C117"/>
    <mergeCell ref="B25:C25"/>
    <mergeCell ref="E25:G25"/>
    <mergeCell ref="K25:L25"/>
    <mergeCell ref="P25:Q25"/>
    <mergeCell ref="B2:G6"/>
    <mergeCell ref="B7:G7"/>
    <mergeCell ref="H2:W6"/>
    <mergeCell ref="H7:L7"/>
    <mergeCell ref="S7:W7"/>
    <mergeCell ref="M7:R7"/>
    <mergeCell ref="Q14:V14"/>
    <mergeCell ref="O12:P12"/>
    <mergeCell ref="C10:V10"/>
    <mergeCell ref="B19:C19"/>
    <mergeCell ref="B20:C20"/>
    <mergeCell ref="B21:C21"/>
    <mergeCell ref="B22:C22"/>
    <mergeCell ref="B23:C23"/>
    <mergeCell ref="B24:C24"/>
    <mergeCell ref="K20:L20"/>
    <mergeCell ref="P20:Q20"/>
    <mergeCell ref="O14:P14"/>
    <mergeCell ref="C14:F14"/>
    <mergeCell ref="C12:F12"/>
  </mergeCells>
  <phoneticPr fontId="35" type="noConversion"/>
  <dataValidations count="2">
    <dataValidation type="list" allowBlank="1" showErrorMessage="1" sqref="N20:N145" xr:uid="{750C8821-F503-4B7C-944E-500D2DF3B971}">
      <formula1>"LÍQUIDO,SÓLIDO,GAS"</formula1>
    </dataValidation>
    <dataValidation type="list" allowBlank="1" showErrorMessage="1" sqref="K20:L145" xr:uid="{822CA5FD-47CC-4618-B827-D91CE6908C30}">
      <formula1>$A$1:$A$17</formula1>
    </dataValidation>
  </dataValidations>
  <hyperlinks>
    <hyperlink ref="V146" xr:uid="{4FC4C503-F6CA-4452-963E-A8498A3D30E7}"/>
  </hyperlinks>
  <printOptions horizontalCentered="1"/>
  <pageMargins left="0.23622047244094491" right="0.23622047244094491" top="0.23622047244094491" bottom="0.23622047244094491" header="0.31496062992125984" footer="0.31496062992125984"/>
  <pageSetup scale="49" orientation="landscape" r:id="rId1"/>
  <rowBreaks count="1" manualBreakCount="1">
    <brk id="80" max="2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51"/>
  <sheetViews>
    <sheetView showGridLines="0" zoomScale="115" zoomScaleNormal="115" zoomScaleSheetLayoutView="100" workbookViewId="0">
      <selection activeCell="B20" sqref="B20:C20"/>
    </sheetView>
  </sheetViews>
  <sheetFormatPr baseColWidth="10" defaultColWidth="0" defaultRowHeight="14.4" zeroHeight="1" x14ac:dyDescent="0.3"/>
  <cols>
    <col min="1" max="1" width="2.5546875" customWidth="1"/>
    <col min="2" max="2" width="0.6640625" customWidth="1"/>
    <col min="3" max="3" width="14.109375" customWidth="1"/>
    <col min="4" max="4" width="15.33203125" customWidth="1"/>
    <col min="5" max="5" width="11.44140625" customWidth="1"/>
    <col min="6" max="6" width="9.33203125" customWidth="1"/>
    <col min="7" max="7" width="13" customWidth="1"/>
    <col min="8" max="8" width="13.33203125" customWidth="1"/>
    <col min="9" max="9" width="9.6640625" customWidth="1"/>
    <col min="10" max="10" width="11.6640625" customWidth="1"/>
    <col min="11" max="13" width="11.44140625" customWidth="1"/>
    <col min="14" max="14" width="9.88671875" customWidth="1"/>
    <col min="15" max="15" width="9.5546875" customWidth="1"/>
    <col min="16" max="16" width="8.6640625" customWidth="1"/>
    <col min="17" max="17" width="18" customWidth="1"/>
    <col min="18" max="18" width="0.88671875" customWidth="1"/>
    <col min="19" max="19" width="2.5546875" customWidth="1"/>
    <col min="20" max="16384" width="11.44140625" hidden="1"/>
  </cols>
  <sheetData>
    <row r="1" spans="2:18" ht="15" thickBot="1" x14ac:dyDescent="0.35"/>
    <row r="2" spans="2:18" ht="15" customHeight="1" x14ac:dyDescent="0.3">
      <c r="B2" s="203"/>
      <c r="C2" s="204"/>
      <c r="D2" s="204"/>
      <c r="E2" s="204"/>
      <c r="F2" s="204"/>
      <c r="G2" s="204"/>
      <c r="H2" s="188" t="s">
        <v>5</v>
      </c>
      <c r="I2" s="188"/>
      <c r="J2" s="188"/>
      <c r="K2" s="188"/>
      <c r="L2" s="188"/>
      <c r="M2" s="188"/>
      <c r="N2" s="188"/>
      <c r="O2" s="188"/>
      <c r="P2" s="188"/>
      <c r="Q2" s="188"/>
      <c r="R2" s="189"/>
    </row>
    <row r="3" spans="2:18" ht="11.25" customHeight="1" x14ac:dyDescent="0.3">
      <c r="B3" s="205"/>
      <c r="C3" s="206"/>
      <c r="D3" s="206"/>
      <c r="E3" s="206"/>
      <c r="F3" s="206"/>
      <c r="G3" s="206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1"/>
    </row>
    <row r="4" spans="2:18" ht="15" customHeight="1" x14ac:dyDescent="0.3">
      <c r="B4" s="205"/>
      <c r="C4" s="206"/>
      <c r="D4" s="206"/>
      <c r="E4" s="206"/>
      <c r="F4" s="206"/>
      <c r="G4" s="206"/>
      <c r="H4" s="190"/>
      <c r="I4" s="190"/>
      <c r="J4" s="190"/>
      <c r="K4" s="190"/>
      <c r="L4" s="190"/>
      <c r="M4" s="190"/>
      <c r="N4" s="190"/>
      <c r="O4" s="190"/>
      <c r="P4" s="190"/>
      <c r="Q4" s="190"/>
      <c r="R4" s="191"/>
    </row>
    <row r="5" spans="2:18" ht="11.25" customHeight="1" x14ac:dyDescent="0.3">
      <c r="B5" s="205"/>
      <c r="C5" s="206"/>
      <c r="D5" s="206"/>
      <c r="E5" s="206"/>
      <c r="F5" s="206"/>
      <c r="G5" s="206"/>
      <c r="H5" s="190"/>
      <c r="I5" s="190"/>
      <c r="J5" s="190"/>
      <c r="K5" s="190"/>
      <c r="L5" s="190"/>
      <c r="M5" s="190"/>
      <c r="N5" s="190"/>
      <c r="O5" s="190"/>
      <c r="P5" s="190"/>
      <c r="Q5" s="190"/>
      <c r="R5" s="191"/>
    </row>
    <row r="6" spans="2:18" ht="15" customHeight="1" x14ac:dyDescent="0.3">
      <c r="B6" s="205"/>
      <c r="C6" s="206"/>
      <c r="D6" s="206"/>
      <c r="E6" s="206"/>
      <c r="F6" s="206"/>
      <c r="G6" s="206"/>
      <c r="H6" s="190"/>
      <c r="I6" s="190"/>
      <c r="J6" s="190"/>
      <c r="K6" s="190"/>
      <c r="L6" s="190"/>
      <c r="M6" s="190"/>
      <c r="N6" s="190"/>
      <c r="O6" s="190"/>
      <c r="P6" s="190"/>
      <c r="Q6" s="190"/>
      <c r="R6" s="191"/>
    </row>
    <row r="7" spans="2:18" s="7" customFormat="1" ht="12.9" customHeight="1" thickBot="1" x14ac:dyDescent="0.35">
      <c r="B7" s="207" t="s">
        <v>65</v>
      </c>
      <c r="C7" s="208"/>
      <c r="D7" s="208"/>
      <c r="E7" s="208"/>
      <c r="F7" s="208"/>
      <c r="G7" s="208"/>
      <c r="H7" s="192" t="s">
        <v>40</v>
      </c>
      <c r="I7" s="192"/>
      <c r="J7" s="192"/>
      <c r="K7" s="192" t="s">
        <v>60</v>
      </c>
      <c r="L7" s="192"/>
      <c r="M7" s="192"/>
      <c r="N7" s="192"/>
      <c r="O7" s="192" t="s">
        <v>41</v>
      </c>
      <c r="P7" s="192"/>
      <c r="Q7" s="192"/>
      <c r="R7" s="202"/>
    </row>
    <row r="8" spans="2:18" ht="3.75" customHeight="1" thickBot="1" x14ac:dyDescent="0.35">
      <c r="C8" s="1"/>
      <c r="D8" s="1"/>
      <c r="E8" s="9" t="e">
        <f>+E20</f>
        <v>#N/A</v>
      </c>
      <c r="F8" s="9">
        <f>+SUM(G20:G46)</f>
        <v>0</v>
      </c>
      <c r="G8" s="9" t="e">
        <f>+E8-F8</f>
        <v>#N/A</v>
      </c>
      <c r="H8" s="2"/>
      <c r="I8" s="2"/>
      <c r="J8" s="2"/>
      <c r="K8" s="2"/>
      <c r="L8" s="2"/>
      <c r="M8" s="2"/>
      <c r="N8" s="2"/>
      <c r="O8" s="2"/>
      <c r="P8" s="3"/>
      <c r="Q8" s="3"/>
    </row>
    <row r="9" spans="2:18" ht="3.75" customHeight="1" x14ac:dyDescent="0.3">
      <c r="B9" s="72"/>
      <c r="C9" s="73"/>
      <c r="D9" s="73"/>
      <c r="E9" s="74"/>
      <c r="F9" s="74"/>
      <c r="G9" s="74"/>
      <c r="H9" s="75"/>
      <c r="I9" s="75"/>
      <c r="J9" s="75"/>
      <c r="K9" s="75"/>
      <c r="L9" s="75"/>
      <c r="M9" s="75"/>
      <c r="N9" s="75"/>
      <c r="O9" s="75"/>
      <c r="P9" s="76"/>
      <c r="Q9" s="76"/>
      <c r="R9" s="77"/>
    </row>
    <row r="10" spans="2:18" ht="16.5" customHeight="1" x14ac:dyDescent="0.3">
      <c r="B10" s="78"/>
      <c r="C10" s="196" t="s">
        <v>39</v>
      </c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79"/>
    </row>
    <row r="11" spans="2:18" ht="3.9" customHeight="1" x14ac:dyDescent="0.3">
      <c r="B11" s="7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79"/>
    </row>
    <row r="12" spans="2:18" s="7" customFormat="1" ht="20.100000000000001" customHeight="1" x14ac:dyDescent="0.3">
      <c r="B12" s="80"/>
      <c r="C12" s="59" t="s">
        <v>17</v>
      </c>
      <c r="D12" s="194">
        <f>INVENTARIO!G14</f>
        <v>0</v>
      </c>
      <c r="E12" s="194"/>
      <c r="F12" s="194"/>
      <c r="G12" s="194"/>
      <c r="H12" s="194"/>
      <c r="I12" s="200" t="s">
        <v>35</v>
      </c>
      <c r="J12" s="200"/>
      <c r="K12" s="200"/>
      <c r="L12" s="201">
        <f>INVENTARIO!G16</f>
        <v>0</v>
      </c>
      <c r="M12" s="201"/>
      <c r="N12" s="201"/>
      <c r="O12" s="66" t="s">
        <v>11</v>
      </c>
      <c r="P12" s="194">
        <f>INVENTARIO!Q12</f>
        <v>0</v>
      </c>
      <c r="Q12" s="194"/>
      <c r="R12" s="81"/>
    </row>
    <row r="13" spans="2:18" s="7" customFormat="1" ht="3.9" customHeight="1" x14ac:dyDescent="0.3">
      <c r="B13" s="80"/>
      <c r="C13" s="59"/>
      <c r="D13" s="60"/>
      <c r="E13" s="60"/>
      <c r="F13" s="60"/>
      <c r="G13" s="60"/>
      <c r="H13" s="60"/>
      <c r="I13" s="65"/>
      <c r="J13" s="65"/>
      <c r="K13" s="65"/>
      <c r="L13" s="68"/>
      <c r="M13" s="68"/>
      <c r="N13" s="69"/>
      <c r="O13" s="59"/>
      <c r="P13" s="60"/>
      <c r="Q13" s="60"/>
      <c r="R13" s="82"/>
    </row>
    <row r="14" spans="2:18" s="7" customFormat="1" ht="20.100000000000001" customHeight="1" x14ac:dyDescent="0.3">
      <c r="B14" s="80"/>
      <c r="C14" s="197" t="s">
        <v>8</v>
      </c>
      <c r="D14" s="197"/>
      <c r="E14" s="193" t="e">
        <f>VLOOKUP(N16,INVENTARIO!D:S,2,FALSE)</f>
        <v>#N/A</v>
      </c>
      <c r="F14" s="193"/>
      <c r="G14" s="193"/>
      <c r="H14" s="193"/>
      <c r="I14" s="193"/>
      <c r="J14" s="193"/>
      <c r="K14" s="66" t="s">
        <v>12</v>
      </c>
      <c r="L14" s="194" t="e">
        <f>VLOOKUP(N16,INVENTARIO!D:S,5,FALSE)</f>
        <v>#N/A</v>
      </c>
      <c r="M14" s="194"/>
      <c r="N14" s="198" t="s">
        <v>13</v>
      </c>
      <c r="O14" s="198"/>
      <c r="P14" s="199" t="e">
        <f>VLOOKUP(N16,INVENTARIO!D:S,12,FALSE)</f>
        <v>#N/A</v>
      </c>
      <c r="Q14" s="199"/>
      <c r="R14" s="82"/>
    </row>
    <row r="15" spans="2:18" s="7" customFormat="1" ht="3.9" customHeight="1" x14ac:dyDescent="0.3">
      <c r="B15" s="80"/>
      <c r="C15" s="61"/>
      <c r="D15" s="61"/>
      <c r="E15" s="62"/>
      <c r="F15" s="62"/>
      <c r="G15" s="62"/>
      <c r="H15" s="62"/>
      <c r="I15" s="62"/>
      <c r="J15" s="62"/>
      <c r="K15" s="59"/>
      <c r="L15" s="62"/>
      <c r="M15" s="62"/>
      <c r="N15" s="63"/>
      <c r="O15" s="63"/>
      <c r="P15" s="64"/>
      <c r="Q15" s="64"/>
      <c r="R15" s="82"/>
    </row>
    <row r="16" spans="2:18" s="7" customFormat="1" ht="20.100000000000001" customHeight="1" x14ac:dyDescent="0.3">
      <c r="B16" s="80"/>
      <c r="C16" s="59" t="s">
        <v>7</v>
      </c>
      <c r="D16" s="193" t="e">
        <f>VLOOKUP(N16,INVENTARIO!D:S,13,FALSE)</f>
        <v>#N/A</v>
      </c>
      <c r="E16" s="193"/>
      <c r="F16" s="193"/>
      <c r="G16" s="66" t="s">
        <v>9</v>
      </c>
      <c r="H16" s="194" t="e">
        <f>VLOOKUP(N16,INVENTARIO!D:S,11,FALSE)</f>
        <v>#N/A</v>
      </c>
      <c r="I16" s="194"/>
      <c r="J16" s="66" t="s">
        <v>10</v>
      </c>
      <c r="K16" s="194" t="e">
        <f>VLOOKUP(N16,INVENTARIO!D:S,7,FALSE)</f>
        <v>#N/A</v>
      </c>
      <c r="L16" s="194"/>
      <c r="M16" s="71" t="s">
        <v>16</v>
      </c>
      <c r="N16" s="195" t="s">
        <v>58</v>
      </c>
      <c r="O16" s="195"/>
      <c r="P16" s="67" t="s">
        <v>18</v>
      </c>
      <c r="Q16" s="70" t="e">
        <f>VLOOKUP(N16,INVENTARIO!D:S,6,FALSE)</f>
        <v>#N/A</v>
      </c>
      <c r="R16" s="82"/>
    </row>
    <row r="17" spans="2:18" ht="3.75" customHeight="1" thickBot="1" x14ac:dyDescent="0.35">
      <c r="B17" s="83"/>
      <c r="C17" s="84"/>
      <c r="D17" s="84"/>
      <c r="E17" s="85"/>
      <c r="F17" s="85"/>
      <c r="G17" s="85"/>
      <c r="H17" s="86"/>
      <c r="I17" s="86"/>
      <c r="J17" s="86"/>
      <c r="K17" s="86"/>
      <c r="L17" s="86"/>
      <c r="M17" s="86"/>
      <c r="N17" s="86"/>
      <c r="O17" s="86"/>
      <c r="P17" s="87"/>
      <c r="Q17" s="87"/>
      <c r="R17" s="88"/>
    </row>
    <row r="18" spans="2:18" s="4" customFormat="1" ht="6" customHeight="1" thickBot="1" x14ac:dyDescent="0.35">
      <c r="C18" s="5"/>
      <c r="D18" s="6"/>
      <c r="E18" s="6"/>
      <c r="F18" s="6"/>
      <c r="G18" s="8" t="e">
        <f>+E20-SUM(G20:G46)</f>
        <v>#N/A</v>
      </c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2:18" ht="32.25" customHeight="1" thickBot="1" x14ac:dyDescent="0.35">
      <c r="B19" s="246" t="s">
        <v>14</v>
      </c>
      <c r="C19" s="247"/>
      <c r="D19" s="92" t="s">
        <v>0</v>
      </c>
      <c r="E19" s="92" t="s">
        <v>2</v>
      </c>
      <c r="F19" s="91" t="s">
        <v>33</v>
      </c>
      <c r="G19" s="91" t="s">
        <v>15</v>
      </c>
      <c r="H19" s="219" t="s">
        <v>4</v>
      </c>
      <c r="I19" s="220"/>
      <c r="J19" s="221" t="s">
        <v>1</v>
      </c>
      <c r="K19" s="222"/>
      <c r="L19" s="222"/>
      <c r="M19" s="222"/>
      <c r="N19" s="222"/>
      <c r="O19" s="223"/>
      <c r="P19" s="219" t="s">
        <v>3</v>
      </c>
      <c r="Q19" s="224"/>
      <c r="R19" s="225"/>
    </row>
    <row r="20" spans="2:18" ht="18.75" customHeight="1" x14ac:dyDescent="0.3">
      <c r="B20" s="248">
        <v>1</v>
      </c>
      <c r="C20" s="210"/>
      <c r="D20" s="90"/>
      <c r="E20" s="90" t="e">
        <f>VLOOKUP(N16,INVENTARIO!D:S,16,FALSE)</f>
        <v>#N/A</v>
      </c>
      <c r="F20" s="90" t="s">
        <v>34</v>
      </c>
      <c r="G20" s="90">
        <v>0</v>
      </c>
      <c r="H20" s="209" t="str">
        <f>IFERROR(E20-G20&amp;" "&amp;F20,"")</f>
        <v/>
      </c>
      <c r="I20" s="210"/>
      <c r="J20" s="211"/>
      <c r="K20" s="212"/>
      <c r="L20" s="212"/>
      <c r="M20" s="212"/>
      <c r="N20" s="212"/>
      <c r="O20" s="213"/>
      <c r="P20" s="226"/>
      <c r="Q20" s="226"/>
      <c r="R20" s="227"/>
    </row>
    <row r="21" spans="2:18" ht="18.75" customHeight="1" x14ac:dyDescent="0.3">
      <c r="B21" s="248">
        <f>B20+1</f>
        <v>2</v>
      </c>
      <c r="C21" s="210"/>
      <c r="D21" s="10"/>
      <c r="E21" s="10" t="e">
        <f>E20-G20</f>
        <v>#N/A</v>
      </c>
      <c r="F21" s="10" t="s">
        <v>34</v>
      </c>
      <c r="G21" s="10"/>
      <c r="H21" s="214" t="str">
        <f>IFERROR(E21-G21&amp;" "&amp;F21,"")</f>
        <v/>
      </c>
      <c r="I21" s="215"/>
      <c r="J21" s="216"/>
      <c r="K21" s="217"/>
      <c r="L21" s="217"/>
      <c r="M21" s="217"/>
      <c r="N21" s="217"/>
      <c r="O21" s="218"/>
      <c r="P21" s="228"/>
      <c r="Q21" s="228"/>
      <c r="R21" s="229"/>
    </row>
    <row r="22" spans="2:18" ht="18.75" customHeight="1" x14ac:dyDescent="0.3">
      <c r="B22" s="245"/>
      <c r="C22" s="215"/>
      <c r="D22" s="10"/>
      <c r="E22" s="10" t="e">
        <f t="shared" ref="E22:E45" si="0">E21-G21</f>
        <v>#N/A</v>
      </c>
      <c r="F22" s="10"/>
      <c r="G22" s="10"/>
      <c r="H22" s="214" t="str">
        <f>IFERROR(E22-G22&amp;" "&amp;F22,"")</f>
        <v/>
      </c>
      <c r="I22" s="215"/>
      <c r="J22" s="216"/>
      <c r="K22" s="217"/>
      <c r="L22" s="217"/>
      <c r="M22" s="217"/>
      <c r="N22" s="217"/>
      <c r="O22" s="218"/>
      <c r="P22" s="228"/>
      <c r="Q22" s="228"/>
      <c r="R22" s="229"/>
    </row>
    <row r="23" spans="2:18" ht="18.75" customHeight="1" x14ac:dyDescent="0.3">
      <c r="B23" s="245"/>
      <c r="C23" s="215"/>
      <c r="D23" s="10"/>
      <c r="E23" s="10" t="e">
        <f t="shared" si="0"/>
        <v>#N/A</v>
      </c>
      <c r="F23" s="10"/>
      <c r="G23" s="10"/>
      <c r="H23" s="214" t="str">
        <f t="shared" ref="H23:H46" si="1">IFERROR(E23-G23&amp;" "&amp;F23,"")</f>
        <v/>
      </c>
      <c r="I23" s="215"/>
      <c r="J23" s="216"/>
      <c r="K23" s="217"/>
      <c r="L23" s="217"/>
      <c r="M23" s="217"/>
      <c r="N23" s="217"/>
      <c r="O23" s="218"/>
      <c r="P23" s="228"/>
      <c r="Q23" s="228"/>
      <c r="R23" s="229"/>
    </row>
    <row r="24" spans="2:18" ht="18.75" customHeight="1" x14ac:dyDescent="0.3">
      <c r="B24" s="245"/>
      <c r="C24" s="215"/>
      <c r="D24" s="10"/>
      <c r="E24" s="10" t="e">
        <f t="shared" si="0"/>
        <v>#N/A</v>
      </c>
      <c r="F24" s="10"/>
      <c r="G24" s="10"/>
      <c r="H24" s="214" t="str">
        <f t="shared" si="1"/>
        <v/>
      </c>
      <c r="I24" s="215"/>
      <c r="J24" s="216"/>
      <c r="K24" s="217"/>
      <c r="L24" s="217"/>
      <c r="M24" s="217"/>
      <c r="N24" s="217"/>
      <c r="O24" s="218"/>
      <c r="P24" s="228"/>
      <c r="Q24" s="228"/>
      <c r="R24" s="229"/>
    </row>
    <row r="25" spans="2:18" ht="18.75" customHeight="1" x14ac:dyDescent="0.3">
      <c r="B25" s="245"/>
      <c r="C25" s="215"/>
      <c r="D25" s="10"/>
      <c r="E25" s="10" t="e">
        <f t="shared" si="0"/>
        <v>#N/A</v>
      </c>
      <c r="F25" s="10"/>
      <c r="G25" s="10"/>
      <c r="H25" s="214" t="str">
        <f t="shared" si="1"/>
        <v/>
      </c>
      <c r="I25" s="215"/>
      <c r="J25" s="216"/>
      <c r="K25" s="217"/>
      <c r="L25" s="217"/>
      <c r="M25" s="217"/>
      <c r="N25" s="217"/>
      <c r="O25" s="218"/>
      <c r="P25" s="228"/>
      <c r="Q25" s="228"/>
      <c r="R25" s="229"/>
    </row>
    <row r="26" spans="2:18" ht="18.75" customHeight="1" x14ac:dyDescent="0.3">
      <c r="B26" s="245"/>
      <c r="C26" s="215"/>
      <c r="D26" s="10"/>
      <c r="E26" s="10" t="e">
        <f t="shared" si="0"/>
        <v>#N/A</v>
      </c>
      <c r="F26" s="10"/>
      <c r="G26" s="10"/>
      <c r="H26" s="214" t="str">
        <f t="shared" si="1"/>
        <v/>
      </c>
      <c r="I26" s="215"/>
      <c r="J26" s="216"/>
      <c r="K26" s="217"/>
      <c r="L26" s="217"/>
      <c r="M26" s="217"/>
      <c r="N26" s="217"/>
      <c r="O26" s="218"/>
      <c r="P26" s="228"/>
      <c r="Q26" s="228"/>
      <c r="R26" s="229"/>
    </row>
    <row r="27" spans="2:18" ht="18.75" customHeight="1" x14ac:dyDescent="0.3">
      <c r="B27" s="245"/>
      <c r="C27" s="215"/>
      <c r="D27" s="11"/>
      <c r="E27" s="10" t="e">
        <f t="shared" si="0"/>
        <v>#N/A</v>
      </c>
      <c r="F27" s="10"/>
      <c r="G27" s="10"/>
      <c r="H27" s="214" t="str">
        <f t="shared" si="1"/>
        <v/>
      </c>
      <c r="I27" s="215"/>
      <c r="J27" s="216"/>
      <c r="K27" s="217"/>
      <c r="L27" s="217"/>
      <c r="M27" s="217"/>
      <c r="N27" s="217"/>
      <c r="O27" s="218"/>
      <c r="P27" s="228"/>
      <c r="Q27" s="228"/>
      <c r="R27" s="229"/>
    </row>
    <row r="28" spans="2:18" ht="18.75" customHeight="1" x14ac:dyDescent="0.3">
      <c r="B28" s="245"/>
      <c r="C28" s="215"/>
      <c r="D28" s="11"/>
      <c r="E28" s="10" t="e">
        <f t="shared" si="0"/>
        <v>#N/A</v>
      </c>
      <c r="F28" s="10"/>
      <c r="G28" s="10"/>
      <c r="H28" s="214" t="str">
        <f t="shared" si="1"/>
        <v/>
      </c>
      <c r="I28" s="215"/>
      <c r="J28" s="216"/>
      <c r="K28" s="217"/>
      <c r="L28" s="217"/>
      <c r="M28" s="217"/>
      <c r="N28" s="217"/>
      <c r="O28" s="218"/>
      <c r="P28" s="228"/>
      <c r="Q28" s="228"/>
      <c r="R28" s="229"/>
    </row>
    <row r="29" spans="2:18" ht="18.75" customHeight="1" x14ac:dyDescent="0.3">
      <c r="B29" s="245"/>
      <c r="C29" s="215"/>
      <c r="D29" s="11"/>
      <c r="E29" s="10" t="e">
        <f t="shared" si="0"/>
        <v>#N/A</v>
      </c>
      <c r="F29" s="10"/>
      <c r="G29" s="10"/>
      <c r="H29" s="214" t="str">
        <f t="shared" si="1"/>
        <v/>
      </c>
      <c r="I29" s="215"/>
      <c r="J29" s="216"/>
      <c r="K29" s="217"/>
      <c r="L29" s="217"/>
      <c r="M29" s="217"/>
      <c r="N29" s="217"/>
      <c r="O29" s="218"/>
      <c r="P29" s="228"/>
      <c r="Q29" s="228"/>
      <c r="R29" s="229"/>
    </row>
    <row r="30" spans="2:18" ht="18.75" customHeight="1" x14ac:dyDescent="0.3">
      <c r="B30" s="245"/>
      <c r="C30" s="215"/>
      <c r="D30" s="11"/>
      <c r="E30" s="10" t="e">
        <f t="shared" si="0"/>
        <v>#N/A</v>
      </c>
      <c r="F30" s="10"/>
      <c r="G30" s="10"/>
      <c r="H30" s="214" t="str">
        <f t="shared" si="1"/>
        <v/>
      </c>
      <c r="I30" s="215"/>
      <c r="J30" s="216"/>
      <c r="K30" s="217"/>
      <c r="L30" s="217"/>
      <c r="M30" s="217"/>
      <c r="N30" s="217"/>
      <c r="O30" s="218"/>
      <c r="P30" s="228"/>
      <c r="Q30" s="228"/>
      <c r="R30" s="229"/>
    </row>
    <row r="31" spans="2:18" ht="18.75" customHeight="1" x14ac:dyDescent="0.3">
      <c r="B31" s="245"/>
      <c r="C31" s="215"/>
      <c r="D31" s="11"/>
      <c r="E31" s="10" t="e">
        <f t="shared" si="0"/>
        <v>#N/A</v>
      </c>
      <c r="F31" s="10"/>
      <c r="G31" s="10"/>
      <c r="H31" s="214" t="str">
        <f t="shared" si="1"/>
        <v/>
      </c>
      <c r="I31" s="215"/>
      <c r="J31" s="216"/>
      <c r="K31" s="217"/>
      <c r="L31" s="217"/>
      <c r="M31" s="217"/>
      <c r="N31" s="217"/>
      <c r="O31" s="218"/>
      <c r="P31" s="228"/>
      <c r="Q31" s="228"/>
      <c r="R31" s="229"/>
    </row>
    <row r="32" spans="2:18" ht="18.75" customHeight="1" x14ac:dyDescent="0.3">
      <c r="B32" s="245"/>
      <c r="C32" s="215"/>
      <c r="D32" s="11"/>
      <c r="E32" s="10" t="e">
        <f t="shared" si="0"/>
        <v>#N/A</v>
      </c>
      <c r="F32" s="10"/>
      <c r="G32" s="10"/>
      <c r="H32" s="214" t="str">
        <f t="shared" si="1"/>
        <v/>
      </c>
      <c r="I32" s="215"/>
      <c r="J32" s="216"/>
      <c r="K32" s="217"/>
      <c r="L32" s="217"/>
      <c r="M32" s="217"/>
      <c r="N32" s="217"/>
      <c r="O32" s="218"/>
      <c r="P32" s="228"/>
      <c r="Q32" s="228"/>
      <c r="R32" s="229"/>
    </row>
    <row r="33" spans="2:18" ht="18.75" customHeight="1" x14ac:dyDescent="0.3">
      <c r="B33" s="245"/>
      <c r="C33" s="215"/>
      <c r="D33" s="11"/>
      <c r="E33" s="10" t="e">
        <f t="shared" si="0"/>
        <v>#N/A</v>
      </c>
      <c r="F33" s="10"/>
      <c r="G33" s="10"/>
      <c r="H33" s="214" t="str">
        <f t="shared" si="1"/>
        <v/>
      </c>
      <c r="I33" s="215"/>
      <c r="J33" s="216"/>
      <c r="K33" s="217"/>
      <c r="L33" s="217"/>
      <c r="M33" s="217"/>
      <c r="N33" s="217"/>
      <c r="O33" s="218"/>
      <c r="P33" s="228"/>
      <c r="Q33" s="228"/>
      <c r="R33" s="229"/>
    </row>
    <row r="34" spans="2:18" ht="18.75" customHeight="1" x14ac:dyDescent="0.3">
      <c r="B34" s="245"/>
      <c r="C34" s="215"/>
      <c r="D34" s="11"/>
      <c r="E34" s="10" t="e">
        <f t="shared" si="0"/>
        <v>#N/A</v>
      </c>
      <c r="F34" s="10"/>
      <c r="G34" s="10"/>
      <c r="H34" s="214" t="str">
        <f>IFERROR(E34-G34&amp;" "&amp;F34,"")</f>
        <v/>
      </c>
      <c r="I34" s="215"/>
      <c r="J34" s="216"/>
      <c r="K34" s="217"/>
      <c r="L34" s="217"/>
      <c r="M34" s="217"/>
      <c r="N34" s="217"/>
      <c r="O34" s="218"/>
      <c r="P34" s="228"/>
      <c r="Q34" s="228"/>
      <c r="R34" s="229"/>
    </row>
    <row r="35" spans="2:18" ht="18.75" customHeight="1" x14ac:dyDescent="0.3">
      <c r="B35" s="245"/>
      <c r="C35" s="215"/>
      <c r="D35" s="11"/>
      <c r="E35" s="10" t="e">
        <f t="shared" si="0"/>
        <v>#N/A</v>
      </c>
      <c r="F35" s="10"/>
      <c r="G35" s="10"/>
      <c r="H35" s="214" t="str">
        <f t="shared" si="1"/>
        <v/>
      </c>
      <c r="I35" s="215"/>
      <c r="J35" s="216"/>
      <c r="K35" s="217"/>
      <c r="L35" s="217"/>
      <c r="M35" s="217"/>
      <c r="N35" s="217"/>
      <c r="O35" s="218"/>
      <c r="P35" s="228"/>
      <c r="Q35" s="228"/>
      <c r="R35" s="229"/>
    </row>
    <row r="36" spans="2:18" ht="18.75" customHeight="1" x14ac:dyDescent="0.3">
      <c r="B36" s="245"/>
      <c r="C36" s="215"/>
      <c r="D36" s="11"/>
      <c r="E36" s="10" t="e">
        <f t="shared" si="0"/>
        <v>#N/A</v>
      </c>
      <c r="F36" s="10"/>
      <c r="G36" s="10"/>
      <c r="H36" s="214" t="str">
        <f t="shared" si="1"/>
        <v/>
      </c>
      <c r="I36" s="215"/>
      <c r="J36" s="216"/>
      <c r="K36" s="217"/>
      <c r="L36" s="217"/>
      <c r="M36" s="217"/>
      <c r="N36" s="217"/>
      <c r="O36" s="218"/>
      <c r="P36" s="228"/>
      <c r="Q36" s="228"/>
      <c r="R36" s="229"/>
    </row>
    <row r="37" spans="2:18" ht="18.75" customHeight="1" x14ac:dyDescent="0.3">
      <c r="B37" s="245"/>
      <c r="C37" s="215"/>
      <c r="D37" s="11"/>
      <c r="E37" s="10" t="e">
        <f t="shared" si="0"/>
        <v>#N/A</v>
      </c>
      <c r="F37" s="10"/>
      <c r="G37" s="10"/>
      <c r="H37" s="214" t="str">
        <f t="shared" si="1"/>
        <v/>
      </c>
      <c r="I37" s="215"/>
      <c r="J37" s="216"/>
      <c r="K37" s="217"/>
      <c r="L37" s="217"/>
      <c r="M37" s="217"/>
      <c r="N37" s="217"/>
      <c r="O37" s="218"/>
      <c r="P37" s="228"/>
      <c r="Q37" s="228"/>
      <c r="R37" s="229"/>
    </row>
    <row r="38" spans="2:18" ht="18.75" customHeight="1" x14ac:dyDescent="0.3">
      <c r="B38" s="245"/>
      <c r="C38" s="215"/>
      <c r="D38" s="11"/>
      <c r="E38" s="10" t="e">
        <f t="shared" si="0"/>
        <v>#N/A</v>
      </c>
      <c r="F38" s="10"/>
      <c r="G38" s="10"/>
      <c r="H38" s="214" t="str">
        <f t="shared" si="1"/>
        <v/>
      </c>
      <c r="I38" s="215"/>
      <c r="J38" s="216"/>
      <c r="K38" s="217"/>
      <c r="L38" s="217"/>
      <c r="M38" s="217"/>
      <c r="N38" s="217"/>
      <c r="O38" s="218"/>
      <c r="P38" s="228"/>
      <c r="Q38" s="228"/>
      <c r="R38" s="229"/>
    </row>
    <row r="39" spans="2:18" ht="18.75" customHeight="1" x14ac:dyDescent="0.3">
      <c r="B39" s="245"/>
      <c r="C39" s="215"/>
      <c r="D39" s="11"/>
      <c r="E39" s="10" t="e">
        <f t="shared" si="0"/>
        <v>#N/A</v>
      </c>
      <c r="F39" s="10"/>
      <c r="G39" s="10"/>
      <c r="H39" s="214" t="str">
        <f t="shared" si="1"/>
        <v/>
      </c>
      <c r="I39" s="215"/>
      <c r="J39" s="216"/>
      <c r="K39" s="217"/>
      <c r="L39" s="217"/>
      <c r="M39" s="217"/>
      <c r="N39" s="217"/>
      <c r="O39" s="218"/>
      <c r="P39" s="228"/>
      <c r="Q39" s="228"/>
      <c r="R39" s="229"/>
    </row>
    <row r="40" spans="2:18" ht="18.75" customHeight="1" x14ac:dyDescent="0.3">
      <c r="B40" s="245"/>
      <c r="C40" s="215"/>
      <c r="D40" s="11"/>
      <c r="E40" s="10" t="e">
        <f t="shared" si="0"/>
        <v>#N/A</v>
      </c>
      <c r="F40" s="10"/>
      <c r="G40" s="10"/>
      <c r="H40" s="214" t="str">
        <f t="shared" si="1"/>
        <v/>
      </c>
      <c r="I40" s="215"/>
      <c r="J40" s="216"/>
      <c r="K40" s="217"/>
      <c r="L40" s="217"/>
      <c r="M40" s="217"/>
      <c r="N40" s="217"/>
      <c r="O40" s="218"/>
      <c r="P40" s="228"/>
      <c r="Q40" s="228"/>
      <c r="R40" s="229"/>
    </row>
    <row r="41" spans="2:18" ht="18.75" customHeight="1" x14ac:dyDescent="0.3">
      <c r="B41" s="245"/>
      <c r="C41" s="215"/>
      <c r="D41" s="11"/>
      <c r="E41" s="10" t="e">
        <f t="shared" si="0"/>
        <v>#N/A</v>
      </c>
      <c r="F41" s="10"/>
      <c r="G41" s="10"/>
      <c r="H41" s="214" t="str">
        <f t="shared" si="1"/>
        <v/>
      </c>
      <c r="I41" s="215"/>
      <c r="J41" s="216"/>
      <c r="K41" s="217"/>
      <c r="L41" s="217"/>
      <c r="M41" s="217"/>
      <c r="N41" s="217"/>
      <c r="O41" s="218"/>
      <c r="P41" s="228"/>
      <c r="Q41" s="228"/>
      <c r="R41" s="229"/>
    </row>
    <row r="42" spans="2:18" ht="18.75" customHeight="1" x14ac:dyDescent="0.3">
      <c r="B42" s="245"/>
      <c r="C42" s="215"/>
      <c r="D42" s="11"/>
      <c r="E42" s="10" t="e">
        <f t="shared" si="0"/>
        <v>#N/A</v>
      </c>
      <c r="F42" s="10"/>
      <c r="G42" s="10"/>
      <c r="H42" s="214" t="str">
        <f t="shared" si="1"/>
        <v/>
      </c>
      <c r="I42" s="215"/>
      <c r="J42" s="216"/>
      <c r="K42" s="217"/>
      <c r="L42" s="217"/>
      <c r="M42" s="217"/>
      <c r="N42" s="217"/>
      <c r="O42" s="218"/>
      <c r="P42" s="228"/>
      <c r="Q42" s="228"/>
      <c r="R42" s="229"/>
    </row>
    <row r="43" spans="2:18" ht="18.75" customHeight="1" x14ac:dyDescent="0.3">
      <c r="B43" s="245"/>
      <c r="C43" s="215"/>
      <c r="D43" s="11"/>
      <c r="E43" s="10" t="e">
        <f t="shared" si="0"/>
        <v>#N/A</v>
      </c>
      <c r="F43" s="10"/>
      <c r="G43" s="10"/>
      <c r="H43" s="214" t="str">
        <f t="shared" si="1"/>
        <v/>
      </c>
      <c r="I43" s="215"/>
      <c r="J43" s="216"/>
      <c r="K43" s="217"/>
      <c r="L43" s="217"/>
      <c r="M43" s="217"/>
      <c r="N43" s="217"/>
      <c r="O43" s="218"/>
      <c r="P43" s="228"/>
      <c r="Q43" s="228"/>
      <c r="R43" s="229"/>
    </row>
    <row r="44" spans="2:18" ht="18.75" customHeight="1" x14ac:dyDescent="0.3">
      <c r="B44" s="245"/>
      <c r="C44" s="215"/>
      <c r="D44" s="11"/>
      <c r="E44" s="10" t="e">
        <f t="shared" si="0"/>
        <v>#N/A</v>
      </c>
      <c r="F44" s="10"/>
      <c r="G44" s="10"/>
      <c r="H44" s="214" t="str">
        <f t="shared" si="1"/>
        <v/>
      </c>
      <c r="I44" s="215"/>
      <c r="J44" s="216"/>
      <c r="K44" s="217"/>
      <c r="L44" s="217"/>
      <c r="M44" s="217"/>
      <c r="N44" s="217"/>
      <c r="O44" s="218"/>
      <c r="P44" s="228"/>
      <c r="Q44" s="228"/>
      <c r="R44" s="229"/>
    </row>
    <row r="45" spans="2:18" ht="18.75" customHeight="1" x14ac:dyDescent="0.3">
      <c r="B45" s="245"/>
      <c r="C45" s="215"/>
      <c r="D45" s="11"/>
      <c r="E45" s="10" t="e">
        <f t="shared" si="0"/>
        <v>#N/A</v>
      </c>
      <c r="F45" s="10"/>
      <c r="G45" s="10"/>
      <c r="H45" s="214" t="str">
        <f t="shared" si="1"/>
        <v/>
      </c>
      <c r="I45" s="215"/>
      <c r="J45" s="216"/>
      <c r="K45" s="217"/>
      <c r="L45" s="217"/>
      <c r="M45" s="217"/>
      <c r="N45" s="217"/>
      <c r="O45" s="218"/>
      <c r="P45" s="228"/>
      <c r="Q45" s="228"/>
      <c r="R45" s="229"/>
    </row>
    <row r="46" spans="2:18" ht="18.75" customHeight="1" thickBot="1" x14ac:dyDescent="0.35">
      <c r="B46" s="242"/>
      <c r="C46" s="238"/>
      <c r="D46" s="12"/>
      <c r="E46" s="89"/>
      <c r="F46" s="89"/>
      <c r="G46" s="89"/>
      <c r="H46" s="237" t="str">
        <f t="shared" si="1"/>
        <v xml:space="preserve">0 </v>
      </c>
      <c r="I46" s="238"/>
      <c r="J46" s="239"/>
      <c r="K46" s="240"/>
      <c r="L46" s="240"/>
      <c r="M46" s="240"/>
      <c r="N46" s="240"/>
      <c r="O46" s="241"/>
      <c r="P46" s="243"/>
      <c r="Q46" s="243"/>
      <c r="R46" s="244"/>
    </row>
    <row r="47" spans="2:18" ht="9" customHeight="1" x14ac:dyDescent="0.3">
      <c r="B47" s="93"/>
      <c r="C47" s="93"/>
      <c r="D47" s="94"/>
      <c r="E47" s="93"/>
      <c r="F47" s="93"/>
      <c r="G47" s="93"/>
      <c r="H47" s="93"/>
      <c r="I47" s="93"/>
      <c r="J47" s="95"/>
      <c r="K47" s="95"/>
      <c r="L47" s="95"/>
      <c r="M47" s="95"/>
      <c r="N47" s="95"/>
      <c r="O47" s="95"/>
      <c r="P47" s="93"/>
      <c r="Q47" s="93"/>
      <c r="R47" s="93"/>
    </row>
    <row r="48" spans="2:18" ht="15" customHeight="1" thickBot="1" x14ac:dyDescent="0.35">
      <c r="B48" s="230" t="s">
        <v>6</v>
      </c>
      <c r="C48" s="230"/>
      <c r="D48" s="230"/>
      <c r="E48" s="230"/>
      <c r="F48" s="230"/>
      <c r="G48" s="230"/>
      <c r="H48" s="230"/>
      <c r="I48" s="230"/>
      <c r="J48" s="230"/>
      <c r="K48" s="230"/>
      <c r="L48" s="230"/>
      <c r="M48" s="230"/>
      <c r="N48" s="230"/>
      <c r="O48" s="230"/>
      <c r="P48" s="230"/>
      <c r="Q48" s="230"/>
      <c r="R48" s="230"/>
    </row>
    <row r="49" spans="2:18" x14ac:dyDescent="0.3">
      <c r="B49" s="231"/>
      <c r="C49" s="232"/>
      <c r="D49" s="232"/>
      <c r="E49" s="232"/>
      <c r="F49" s="232"/>
      <c r="G49" s="232"/>
      <c r="H49" s="232"/>
      <c r="I49" s="232"/>
      <c r="J49" s="232"/>
      <c r="K49" s="232"/>
      <c r="L49" s="232"/>
      <c r="M49" s="232"/>
      <c r="N49" s="232"/>
      <c r="O49" s="232"/>
      <c r="P49" s="232"/>
      <c r="Q49" s="232"/>
      <c r="R49" s="233"/>
    </row>
    <row r="50" spans="2:18" ht="15" thickBot="1" x14ac:dyDescent="0.35"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6"/>
    </row>
    <row r="51" spans="2:18" x14ac:dyDescent="0.3"/>
  </sheetData>
  <mergeCells count="134"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42:C42"/>
    <mergeCell ref="B43:C43"/>
    <mergeCell ref="B44:C44"/>
    <mergeCell ref="B45:C45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8:R48"/>
    <mergeCell ref="B49:R50"/>
    <mergeCell ref="H42:I42"/>
    <mergeCell ref="J42:O42"/>
    <mergeCell ref="H43:I43"/>
    <mergeCell ref="J43:O43"/>
    <mergeCell ref="H40:I40"/>
    <mergeCell ref="J40:O40"/>
    <mergeCell ref="H41:I41"/>
    <mergeCell ref="J41:O41"/>
    <mergeCell ref="P40:R40"/>
    <mergeCell ref="P41:R41"/>
    <mergeCell ref="P42:R42"/>
    <mergeCell ref="P43:R43"/>
    <mergeCell ref="H46:I46"/>
    <mergeCell ref="J46:O46"/>
    <mergeCell ref="H44:I44"/>
    <mergeCell ref="J44:O44"/>
    <mergeCell ref="H45:I45"/>
    <mergeCell ref="J45:O45"/>
    <mergeCell ref="B46:C46"/>
    <mergeCell ref="P44:R44"/>
    <mergeCell ref="P45:R45"/>
    <mergeCell ref="P46:R46"/>
    <mergeCell ref="H37:I37"/>
    <mergeCell ref="J37:O37"/>
    <mergeCell ref="P36:R36"/>
    <mergeCell ref="P37:R37"/>
    <mergeCell ref="P38:R38"/>
    <mergeCell ref="P39:R39"/>
    <mergeCell ref="H34:I34"/>
    <mergeCell ref="J34:O34"/>
    <mergeCell ref="H35:I35"/>
    <mergeCell ref="J35:O35"/>
    <mergeCell ref="H38:I38"/>
    <mergeCell ref="J38:O38"/>
    <mergeCell ref="H39:I39"/>
    <mergeCell ref="J39:O39"/>
    <mergeCell ref="H36:I36"/>
    <mergeCell ref="J36:O36"/>
    <mergeCell ref="H32:I32"/>
    <mergeCell ref="J32:O32"/>
    <mergeCell ref="H33:I33"/>
    <mergeCell ref="J33:O33"/>
    <mergeCell ref="P32:R32"/>
    <mergeCell ref="P33:R33"/>
    <mergeCell ref="P34:R34"/>
    <mergeCell ref="P35:R35"/>
    <mergeCell ref="H30:I30"/>
    <mergeCell ref="J30:O30"/>
    <mergeCell ref="H31:I31"/>
    <mergeCell ref="J31:O31"/>
    <mergeCell ref="H28:I28"/>
    <mergeCell ref="J28:O28"/>
    <mergeCell ref="H29:I29"/>
    <mergeCell ref="J29:O29"/>
    <mergeCell ref="P28:R28"/>
    <mergeCell ref="P29:R29"/>
    <mergeCell ref="P30:R30"/>
    <mergeCell ref="P31:R31"/>
    <mergeCell ref="H26:I26"/>
    <mergeCell ref="J26:O26"/>
    <mergeCell ref="H27:I27"/>
    <mergeCell ref="J27:O27"/>
    <mergeCell ref="H24:I24"/>
    <mergeCell ref="J24:O24"/>
    <mergeCell ref="H25:I25"/>
    <mergeCell ref="J25:O25"/>
    <mergeCell ref="P24:R24"/>
    <mergeCell ref="P25:R25"/>
    <mergeCell ref="P26:R26"/>
    <mergeCell ref="P27:R27"/>
    <mergeCell ref="H22:I22"/>
    <mergeCell ref="J22:O22"/>
    <mergeCell ref="H23:I23"/>
    <mergeCell ref="J23:O23"/>
    <mergeCell ref="P22:R22"/>
    <mergeCell ref="P23:R23"/>
    <mergeCell ref="H20:I20"/>
    <mergeCell ref="J20:O20"/>
    <mergeCell ref="H21:I21"/>
    <mergeCell ref="J21:O21"/>
    <mergeCell ref="H19:I19"/>
    <mergeCell ref="J19:O19"/>
    <mergeCell ref="P19:R19"/>
    <mergeCell ref="P20:R20"/>
    <mergeCell ref="P21:R21"/>
    <mergeCell ref="H2:R6"/>
    <mergeCell ref="H7:J7"/>
    <mergeCell ref="D16:F16"/>
    <mergeCell ref="H16:I16"/>
    <mergeCell ref="K16:L16"/>
    <mergeCell ref="N16:O16"/>
    <mergeCell ref="C10:Q10"/>
    <mergeCell ref="D12:H12"/>
    <mergeCell ref="C14:D14"/>
    <mergeCell ref="E14:J14"/>
    <mergeCell ref="L14:M14"/>
    <mergeCell ref="N14:O14"/>
    <mergeCell ref="P14:Q14"/>
    <mergeCell ref="P12:Q12"/>
    <mergeCell ref="I12:K12"/>
    <mergeCell ref="L12:N12"/>
    <mergeCell ref="K7:N7"/>
    <mergeCell ref="O7:R7"/>
    <mergeCell ref="B2:G6"/>
    <mergeCell ref="B7:G7"/>
  </mergeCells>
  <printOptions horizontalCentered="1"/>
  <pageMargins left="0.43307086614173229" right="0.43307086614173229" top="0.43307086614173229" bottom="0.43307086614173229" header="0.31496062992125984" footer="0.31496062992125984"/>
  <pageSetup scale="6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5</vt:i4>
      </vt:variant>
    </vt:vector>
  </HeadingPairs>
  <TitlesOfParts>
    <vt:vector size="7" baseType="lpstr">
      <vt:lpstr>INVENTARIO</vt:lpstr>
      <vt:lpstr>XXX-001</vt:lpstr>
      <vt:lpstr>INVENTARIO!Área_de_impresión</vt:lpstr>
      <vt:lpstr>INVENTARIO!Print_Area</vt:lpstr>
      <vt:lpstr>INVENTARIO!Print_Titles</vt:lpstr>
      <vt:lpstr>'XXX-001'!Print_Titles</vt:lpstr>
      <vt:lpstr>INVENTARIO!Títulos_a_imprimir</vt:lpstr>
    </vt:vector>
  </TitlesOfParts>
  <Company>Universidad Santo Tomas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Jeimy Mercedes Poveda Avila</dc:creator>
  <cp:lastModifiedBy>Jhon Vargas</cp:lastModifiedBy>
  <cp:lastPrinted>2024-05-17T22:10:13Z</cp:lastPrinted>
  <dcterms:created xsi:type="dcterms:W3CDTF">2019-08-22T13:50:16Z</dcterms:created>
  <dcterms:modified xsi:type="dcterms:W3CDTF">2026-04-25T07:05:07Z</dcterms:modified>
</cp:coreProperties>
</file>